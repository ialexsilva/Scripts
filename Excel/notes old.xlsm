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3.xml" ContentType="application/vnd.openxmlformats-officedocument.drawing+xml"/>
  <Override PartName="/xl/activeX/activeX18.xml" ContentType="application/vnd.ms-office.activeX+xml"/>
  <Override PartName="/xl/activeX/activeX18.bin" ContentType="application/vnd.ms-office.activeX"/>
  <Override PartName="/xl/drawings/drawing4.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6.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050" yWindow="60" windowWidth="5370" windowHeight="2205" tabRatio="741"/>
  </bookViews>
  <sheets>
    <sheet name="Notes" sheetId="1" r:id="rId1"/>
    <sheet name="Quick Text" sheetId="5" r:id="rId2"/>
    <sheet name="Passwords" sheetId="8" r:id="rId3"/>
    <sheet name="Phone #s" sheetId="3" r:id="rId4"/>
    <sheet name="Email" sheetId="12" r:id="rId5"/>
    <sheet name="Room" sheetId="15" r:id="rId6"/>
    <sheet name="CC Log" sheetId="14" r:id="rId7"/>
  </sheets>
  <functionGroups builtInGroupCount="17"/>
  <definedNames>
    <definedName name="mail">Email!$O$2:$S$7</definedName>
  </definedNames>
  <calcPr calcId="145621"/>
  <fileRecoveryPr autoRecover="0"/>
</workbook>
</file>

<file path=xl/calcChain.xml><?xml version="1.0" encoding="utf-8"?>
<calcChain xmlns="http://schemas.openxmlformats.org/spreadsheetml/2006/main">
  <c r="Q3" i="12" l="1"/>
  <c r="P3" i="12"/>
  <c r="A5" i="5" l="1"/>
  <c r="A6" i="5" l="1"/>
  <c r="A7" i="5" l="1"/>
  <c r="A15" i="5" l="1"/>
  <c r="R5" i="12" l="1"/>
  <c r="Q5" i="12"/>
  <c r="P5" i="12" l="1"/>
  <c r="P2" i="12"/>
  <c r="B6" i="12"/>
  <c r="A6" i="12"/>
  <c r="F6" i="12"/>
  <c r="E6" i="12"/>
  <c r="D6" i="12"/>
  <c r="C3" i="12" l="1"/>
  <c r="R4" i="12"/>
  <c r="R6" i="12"/>
  <c r="R7" i="12"/>
  <c r="A3" i="12"/>
  <c r="A11" i="12"/>
  <c r="A8" i="12"/>
  <c r="B13" i="14"/>
  <c r="A13" i="14"/>
  <c r="A11" i="14" s="1"/>
  <c r="O11" i="12"/>
  <c r="O10" i="12" s="1"/>
  <c r="R2" i="12"/>
  <c r="Q2" i="12"/>
  <c r="A23" i="12"/>
  <c r="G11" i="12"/>
  <c r="F11" i="12"/>
  <c r="E11" i="12"/>
  <c r="D11" i="12"/>
  <c r="C11" i="12"/>
  <c r="B11" i="12"/>
  <c r="G8" i="12"/>
  <c r="F8" i="12"/>
  <c r="E8" i="12"/>
  <c r="D8" i="12"/>
  <c r="C8" i="12"/>
  <c r="B8" i="12"/>
  <c r="I3" i="12"/>
  <c r="H3" i="12"/>
  <c r="I2" i="12"/>
  <c r="H2" i="12"/>
  <c r="M1" i="12"/>
  <c r="K1" i="12"/>
  <c r="L1" i="12" s="1"/>
  <c r="E58" i="8"/>
  <c r="E59" i="8"/>
  <c r="A12" i="14" l="1"/>
  <c r="A21" i="12"/>
  <c r="A20" i="12"/>
  <c r="A22" i="12"/>
  <c r="H4" i="12"/>
  <c r="I4" i="12"/>
  <c r="H5" i="12" l="1"/>
  <c r="I5" i="12"/>
  <c r="H6" i="12" l="1"/>
  <c r="G2" i="12" l="1"/>
  <c r="N1" i="12" l="1"/>
  <c r="G3" i="12" s="1"/>
  <c r="G6" i="12"/>
</calcChain>
</file>

<file path=xl/sharedStrings.xml><?xml version="1.0" encoding="utf-8"?>
<sst xmlns="http://schemas.openxmlformats.org/spreadsheetml/2006/main" count="4414" uniqueCount="3023">
  <si>
    <t>Name</t>
  </si>
  <si>
    <t>PC</t>
  </si>
  <si>
    <t>Printer</t>
  </si>
  <si>
    <t>Property</t>
  </si>
  <si>
    <t>Password</t>
  </si>
  <si>
    <t>solution</t>
  </si>
  <si>
    <t>New Wave</t>
  </si>
  <si>
    <t>CMS</t>
  </si>
  <si>
    <t>Texas</t>
  </si>
  <si>
    <t>administrator</t>
  </si>
  <si>
    <t>Barley's</t>
  </si>
  <si>
    <t>Boulder</t>
  </si>
  <si>
    <t>Palace</t>
  </si>
  <si>
    <t>Red Rock</t>
  </si>
  <si>
    <t>Santa Fe</t>
  </si>
  <si>
    <t>Sunset</t>
  </si>
  <si>
    <t>The Greens</t>
  </si>
  <si>
    <t>BS</t>
  </si>
  <si>
    <t>scsulli</t>
  </si>
  <si>
    <t>abagail3</t>
  </si>
  <si>
    <t>SF</t>
  </si>
  <si>
    <t>TS</t>
  </si>
  <si>
    <t>BA</t>
  </si>
  <si>
    <t>Fiesta Henderson</t>
  </si>
  <si>
    <t>RE</t>
  </si>
  <si>
    <t>Fiesta Rancho</t>
  </si>
  <si>
    <t>FR</t>
  </si>
  <si>
    <t>Green Valley Ranch</t>
  </si>
  <si>
    <t>GV</t>
  </si>
  <si>
    <t>GR</t>
  </si>
  <si>
    <t>Lake Mead Lounge</t>
  </si>
  <si>
    <t>LM</t>
  </si>
  <si>
    <t>MS</t>
  </si>
  <si>
    <t>PS</t>
  </si>
  <si>
    <t>RR</t>
  </si>
  <si>
    <t>SS</t>
  </si>
  <si>
    <t>TG</t>
  </si>
  <si>
    <t>Wild Wild West</t>
  </si>
  <si>
    <t>WW</t>
  </si>
  <si>
    <t>Code</t>
  </si>
  <si>
    <t>Phone</t>
  </si>
  <si>
    <t>RN</t>
  </si>
  <si>
    <t>WF</t>
  </si>
  <si>
    <t>WF Boulder (Magic Star)</t>
  </si>
  <si>
    <t>WF Lanes (Renata's)</t>
  </si>
  <si>
    <t>Division</t>
  </si>
  <si>
    <t>North Side</t>
  </si>
  <si>
    <t>West Side</t>
  </si>
  <si>
    <t>East Side</t>
  </si>
  <si>
    <t>Whats Up</t>
  </si>
  <si>
    <t>admin</t>
  </si>
  <si>
    <t>??JANUS</t>
  </si>
  <si>
    <t>Janus</t>
  </si>
  <si>
    <t>Application</t>
  </si>
  <si>
    <t>User Name</t>
  </si>
  <si>
    <t>Western Money</t>
  </si>
  <si>
    <t>Xchange Explorer</t>
  </si>
  <si>
    <t>Xchange Manager</t>
  </si>
  <si>
    <t xml:space="preserve">Aliante </t>
  </si>
  <si>
    <t xml:space="preserve">Barleys </t>
  </si>
  <si>
    <t xml:space="preserve">Boulder </t>
  </si>
  <si>
    <t xml:space="preserve">Fiesta H </t>
  </si>
  <si>
    <t xml:space="preserve">Fiesta R </t>
  </si>
  <si>
    <t xml:space="preserve">Gold Rush </t>
  </si>
  <si>
    <t xml:space="preserve">Green Valley </t>
  </si>
  <si>
    <t xml:space="preserve">Lake Mead </t>
  </si>
  <si>
    <t xml:space="preserve">Palace </t>
  </si>
  <si>
    <t xml:space="preserve">Red Rock </t>
  </si>
  <si>
    <t xml:space="preserve">Santa Fe </t>
  </si>
  <si>
    <t xml:space="preserve">Sunset </t>
  </si>
  <si>
    <t xml:space="preserve">Texas </t>
  </si>
  <si>
    <t xml:space="preserve">The Greens </t>
  </si>
  <si>
    <t xml:space="preserve">Wild Wild West </t>
  </si>
  <si>
    <t xml:space="preserve">Wildfire Boulder </t>
  </si>
  <si>
    <t xml:space="preserve">Wildfire Lanes </t>
  </si>
  <si>
    <t xml:space="preserve">Wildfire Rancho </t>
  </si>
  <si>
    <t>Machine Accounting</t>
  </si>
  <si>
    <t>patronics/media dir</t>
  </si>
  <si>
    <t>SolCenter</t>
  </si>
  <si>
    <t>media</t>
  </si>
  <si>
    <t>ssul</t>
  </si>
  <si>
    <t>shane001</t>
  </si>
  <si>
    <t>password</t>
  </si>
  <si>
    <t xml:space="preserve">Hub at RR </t>
  </si>
  <si>
    <t>Sport Connection</t>
  </si>
  <si>
    <t>TM called to check on the status of the ticket.</t>
  </si>
  <si>
    <t>Itrak</t>
  </si>
  <si>
    <t>JDE</t>
  </si>
  <si>
    <t>jdescsulli</t>
  </si>
  <si>
    <t xml:space="preserve">9-1-877-275-4967  </t>
  </si>
  <si>
    <t>opt 3</t>
  </si>
  <si>
    <t>Back Line</t>
  </si>
  <si>
    <t>??config</t>
  </si>
  <si>
    <t>configuration</t>
  </si>
  <si>
    <t>CA #</t>
  </si>
  <si>
    <t>End Time</t>
  </si>
  <si>
    <t>Start Time</t>
  </si>
  <si>
    <t>TM</t>
  </si>
  <si>
    <t>Duration</t>
  </si>
  <si>
    <t>Issue</t>
  </si>
  <si>
    <t>Made requested changes. Closing Call.</t>
  </si>
  <si>
    <t>NetBotz</t>
  </si>
  <si>
    <t>solutioncenter</t>
  </si>
  <si>
    <t>ZITSCINFOGEN</t>
  </si>
  <si>
    <t>infosol</t>
  </si>
  <si>
    <t>infosol1</t>
  </si>
  <si>
    <t>adminl1a</t>
  </si>
  <si>
    <t>Spasoft</t>
  </si>
  <si>
    <t>Randy</t>
  </si>
  <si>
    <t>nocando</t>
  </si>
  <si>
    <t>Symantec</t>
  </si>
  <si>
    <t>TM has rebooted and checked the cables. Please Assist</t>
  </si>
  <si>
    <t>Gun Lake</t>
  </si>
  <si>
    <t>nochance</t>
  </si>
  <si>
    <t>Sym8nt3c8V</t>
  </si>
  <si>
    <t>stn-hq-persence</t>
  </si>
  <si>
    <t>Cisco Com.</t>
  </si>
  <si>
    <t>Yvonne</t>
  </si>
  <si>
    <t>abagail5</t>
  </si>
  <si>
    <t>Al</t>
  </si>
  <si>
    <t>Andy</t>
  </si>
  <si>
    <t>keyaccess</t>
  </si>
  <si>
    <t>saflok1</t>
  </si>
  <si>
    <t>3328</t>
  </si>
  <si>
    <t>Win Conf Line</t>
  </si>
  <si>
    <t>Von Tobel, John</t>
  </si>
  <si>
    <t>Payroll</t>
  </si>
  <si>
    <t>AD</t>
  </si>
  <si>
    <t>sysop</t>
  </si>
  <si>
    <t>otg</t>
  </si>
  <si>
    <t>AppXtender</t>
  </si>
  <si>
    <t>Verified with TM that it is now working. Closing Call.</t>
  </si>
  <si>
    <t>STNSAFLOK1</t>
  </si>
  <si>
    <t>Corp. Eng.</t>
  </si>
  <si>
    <t>3474</t>
  </si>
  <si>
    <t>Corp Sec Desk</t>
  </si>
  <si>
    <t>3000</t>
  </si>
  <si>
    <t>Hire Date 10/11/2010</t>
  </si>
  <si>
    <t xml:space="preserve">Xchange Manger </t>
  </si>
  <si>
    <t>El Cortez</t>
  </si>
  <si>
    <t>If the vouchers match the cash then everything is ok, if it is just the ticket count that is off from Glory there is nothing IGT can do. Closing call as it is loaded for tracking purposes.</t>
  </si>
  <si>
    <t>IVS Ticket Balance Issue</t>
  </si>
  <si>
    <t>WIN</t>
  </si>
  <si>
    <t xml:space="preserve">Vidmar, John </t>
  </si>
  <si>
    <t>3748</t>
  </si>
  <si>
    <t xml:space="preserve">Wexler, Gennady </t>
  </si>
  <si>
    <t xml:space="preserve">Phelps, Susan </t>
  </si>
  <si>
    <t>Lange, Steve</t>
  </si>
  <si>
    <t>3429</t>
  </si>
  <si>
    <t>Mike</t>
  </si>
  <si>
    <t>1008027</t>
  </si>
  <si>
    <t>King, Jim</t>
  </si>
  <si>
    <t>ResPak</t>
  </si>
  <si>
    <t>ctaket</t>
  </si>
  <si>
    <t>Back Line 3938</t>
  </si>
  <si>
    <t>MP</t>
  </si>
  <si>
    <t xml:space="preserve">Recycled slot data queues , TCP interface, and ADITCPInterface service, then verified with 
TM that cards are now validating on the slot floor. </t>
  </si>
  <si>
    <t>MP - WIN Service Restart - RESOLVED</t>
  </si>
  <si>
    <t>Liz Kiss</t>
  </si>
  <si>
    <t>Ken Klaus</t>
  </si>
  <si>
    <t>Carolyn Evely</t>
  </si>
  <si>
    <t>FH</t>
  </si>
  <si>
    <t>787-4197</t>
  </si>
  <si>
    <t>EC</t>
  </si>
  <si>
    <t>STNSERVICE2</t>
  </si>
  <si>
    <t>winbatchrpt</t>
  </si>
  <si>
    <t>rptwinbatch</t>
  </si>
  <si>
    <t>WIN Reports in Oracle</t>
  </si>
  <si>
    <t>tsjanus</t>
  </si>
  <si>
    <t>TSJANUS</t>
  </si>
  <si>
    <t>tsjanus2013</t>
  </si>
  <si>
    <t>ZIT7117</t>
  </si>
  <si>
    <t>Wildfire Athem</t>
  </si>
  <si>
    <t>name</t>
  </si>
  <si>
    <t>Slot</t>
  </si>
  <si>
    <t>Blank</t>
  </si>
  <si>
    <t>issue</t>
  </si>
  <si>
    <t>dec</t>
  </si>
  <si>
    <t>res</t>
  </si>
  <si>
    <t>to</t>
  </si>
  <si>
    <t>Group-I.T.-All-Notification</t>
  </si>
  <si>
    <t>__Group WIN Lvl 3 SERVICE RESTART Notification</t>
  </si>
  <si>
    <t>VTIMs</t>
  </si>
  <si>
    <t>Race and Sports L2 contacted the Solution Center requesting a restart of a WIN service due to VTIMs being offline at multiple properties.</t>
  </si>
  <si>
    <t>Race and Sports L2 contacted Solution Center requesting restart of a WIN service to resolve log file exceptions.</t>
  </si>
  <si>
    <t>Wildfire Valley View</t>
  </si>
  <si>
    <t>1008003</t>
  </si>
  <si>
    <t>WFR</t>
  </si>
  <si>
    <t xml:space="preserve">Account Management </t>
  </si>
  <si>
    <t xml:space="preserve">Admin Functions </t>
  </si>
  <si>
    <t xml:space="preserve">Communication </t>
  </si>
  <si>
    <t xml:space="preserve">Contest </t>
  </si>
  <si>
    <t xml:space="preserve">Enhancements </t>
  </si>
  <si>
    <t xml:space="preserve">IVR </t>
  </si>
  <si>
    <t xml:space="preserve">Performance </t>
  </si>
  <si>
    <t xml:space="preserve">Player Tracking </t>
  </si>
  <si>
    <t xml:space="preserve">Race Interface </t>
  </si>
  <si>
    <t xml:space="preserve">Reports </t>
  </si>
  <si>
    <t xml:space="preserve">Ticket Payout </t>
  </si>
  <si>
    <t xml:space="preserve">TIM Freezing </t>
  </si>
  <si>
    <t>WA</t>
  </si>
  <si>
    <t>WV</t>
  </si>
  <si>
    <t>WF Valley View</t>
  </si>
  <si>
    <t>Gerald</t>
  </si>
  <si>
    <t>WF Rancho</t>
  </si>
  <si>
    <t>WF Anthem</t>
  </si>
  <si>
    <t>WFA</t>
  </si>
  <si>
    <t>WFB</t>
  </si>
  <si>
    <t>WFL</t>
  </si>
  <si>
    <t>WFS</t>
  </si>
  <si>
    <t>WFV</t>
  </si>
  <si>
    <t>Voice Mail</t>
  </si>
  <si>
    <t>Acct # 2214357 Pass 258369</t>
  </si>
  <si>
    <t>Race and Sports L2 contacted Solution Center requesting WIN service restart due to race pools not loading.</t>
  </si>
  <si>
    <t>WIN Pools</t>
  </si>
  <si>
    <t>W!zb@ngC00l</t>
  </si>
  <si>
    <t>stndsview</t>
  </si>
  <si>
    <t>Administrator</t>
  </si>
  <si>
    <t>Graton AD</t>
  </si>
  <si>
    <t>sculli</t>
  </si>
  <si>
    <t>James Finney</t>
  </si>
  <si>
    <t>Michelle Howes</t>
  </si>
  <si>
    <t>Rey Visaya</t>
  </si>
  <si>
    <t>Max Manglicmot</t>
  </si>
  <si>
    <t>Miguel Gonzales</t>
  </si>
  <si>
    <t>John Hardin</t>
  </si>
  <si>
    <t>Bryan Ihrke</t>
  </si>
  <si>
    <t>Taylor Schwarz</t>
  </si>
  <si>
    <t>Chris Hansen</t>
  </si>
  <si>
    <t>Northside</t>
  </si>
  <si>
    <t>Westside</t>
  </si>
  <si>
    <t>Charles Lee</t>
  </si>
  <si>
    <t>Ray Tanner</t>
  </si>
  <si>
    <t>David Ruiz</t>
  </si>
  <si>
    <t>Eddie Bumpes</t>
  </si>
  <si>
    <t>Alex Minor</t>
  </si>
  <si>
    <t>Johnny Leal</t>
  </si>
  <si>
    <t>Lori Spredeman</t>
  </si>
  <si>
    <t>Terrance Ramos</t>
  </si>
  <si>
    <t>Eastside</t>
  </si>
  <si>
    <t>David Kortegast</t>
  </si>
  <si>
    <t xml:space="preserve">Joseph Gifford </t>
  </si>
  <si>
    <t>Robert Henning</t>
  </si>
  <si>
    <t xml:space="preserve">Eugene Alberto </t>
  </si>
  <si>
    <t>Walter Bogucki</t>
  </si>
  <si>
    <t>Brian Kim</t>
  </si>
  <si>
    <t>Konstantin Kulinchenko</t>
  </si>
  <si>
    <t>wassup</t>
  </si>
  <si>
    <t>corp\GTSuper</t>
  </si>
  <si>
    <t>W1ll0w116</t>
  </si>
  <si>
    <t>Graton</t>
  </si>
  <si>
    <t>Graton IT</t>
  </si>
  <si>
    <t>9-1-707-588-7100</t>
  </si>
  <si>
    <t>Graton MA</t>
  </si>
  <si>
    <t>Solution1</t>
  </si>
  <si>
    <t>P@KR3$2013!</t>
  </si>
  <si>
    <t>ResPak Server</t>
  </si>
  <si>
    <t>Andrew</t>
  </si>
  <si>
    <t>9-1-707-588-7300</t>
  </si>
  <si>
    <t>spasoft2</t>
  </si>
  <si>
    <t>WF Sunset (Gold Rush)</t>
  </si>
  <si>
    <t>Please contact the Solution Center at 240-4357 to work on the issue.</t>
  </si>
  <si>
    <t>PROPERTY</t>
  </si>
  <si>
    <t>TIME</t>
  </si>
  <si>
    <t>SUCCESS</t>
  </si>
  <si>
    <t>INITIALS</t>
  </si>
  <si>
    <t>YES</t>
  </si>
  <si>
    <t>SDS</t>
  </si>
  <si>
    <t>Green Valley</t>
  </si>
  <si>
    <t>9-1-702-458-2739</t>
  </si>
  <si>
    <t>9-1-702-432-7777</t>
  </si>
  <si>
    <t>9-1-702-385-5200</t>
  </si>
  <si>
    <t>9-1-702-558-7000</t>
  </si>
  <si>
    <t>9-1-702-631-7000</t>
  </si>
  <si>
    <t>9-1-702-617-7777</t>
  </si>
  <si>
    <t>9-1-702-367-2411</t>
  </si>
  <si>
    <t>9-1-702-797-7777</t>
  </si>
  <si>
    <t>9-1-702-658-4900</t>
  </si>
  <si>
    <t>9-1-702-547-7777</t>
  </si>
  <si>
    <t>9-1-702-631-1000</t>
  </si>
  <si>
    <t>9-1-702-454-4211</t>
  </si>
  <si>
    <t>9-1-702-495-3822</t>
  </si>
  <si>
    <t>9-1-702-558-6454</t>
  </si>
  <si>
    <t>9-1-702-685-2100</t>
  </si>
  <si>
    <t>9-1-702-648-3801</t>
  </si>
  <si>
    <t>9-1-702-454-0544</t>
  </si>
  <si>
    <t>9-1-702-495-3988</t>
  </si>
  <si>
    <t>9-1-702-740-0000</t>
  </si>
  <si>
    <t>9-1-702-797-7796</t>
  </si>
  <si>
    <t>9-1-702-495-3838</t>
  </si>
  <si>
    <t>9-1-702-495-3500</t>
  </si>
  <si>
    <t>9-1-702-370-7174</t>
  </si>
  <si>
    <t>9-1-702-622-7421</t>
  </si>
  <si>
    <t>9-1-702-249-0047</t>
  </si>
  <si>
    <t>9-1-702-232-6183</t>
  </si>
  <si>
    <t>9-1-702-419-0005</t>
  </si>
  <si>
    <t>9-1-702-334-8483</t>
  </si>
  <si>
    <t>9-1-702-527-8558</t>
  </si>
  <si>
    <t>9-1-702-756-8690</t>
  </si>
  <si>
    <t>9-1-702-501-8484</t>
  </si>
  <si>
    <t>9-1-702-495-3150</t>
  </si>
  <si>
    <t>9-1-702-379-6078</t>
  </si>
  <si>
    <t>9-1-702-845-7530</t>
  </si>
  <si>
    <t>9-1-702-860-9079</t>
  </si>
  <si>
    <t>9-1-702-716-2474</t>
  </si>
  <si>
    <t>9-1-702-201-8054</t>
  </si>
  <si>
    <t>9-1-702-704-2601</t>
  </si>
  <si>
    <t>9-1-702-763-0933</t>
  </si>
  <si>
    <t>9-1-702-401-9253</t>
  </si>
  <si>
    <t>9-1-702-563-5894</t>
  </si>
  <si>
    <t>9-1-702-581-5883</t>
  </si>
  <si>
    <t>9-1-702-763-0929</t>
  </si>
  <si>
    <t>9-1-702-763-0931</t>
  </si>
  <si>
    <t>9-1-702-763-0932</t>
  </si>
  <si>
    <t>9-1-702-717-6548</t>
  </si>
  <si>
    <t>9-1-702-763-0930</t>
  </si>
  <si>
    <t>9-1-702-379-9454</t>
  </si>
  <si>
    <t>9-1-702-287-4387</t>
  </si>
  <si>
    <t>9-1-702-712-2402</t>
  </si>
  <si>
    <t>9-1-702-287-4368</t>
  </si>
  <si>
    <t>9-1-702-204-8910</t>
  </si>
  <si>
    <t>9-1-702-884-5864</t>
  </si>
  <si>
    <t>9-1-702-572-6690</t>
  </si>
  <si>
    <t>9-1-702-379-6184</t>
  </si>
  <si>
    <t>VENDOR COMPANY : 
VENDOR TECH : 
VENDOR CONTACT NUMBER:
ACCT USERNAME: 
TIME OF REQUEST : 
SYSTEM ACCESSED : 
WORK BEING DONE : 
LINKED TO ACTIVE CALL : 
Requested that Vendor Contact Solution Center upon disconnect for update of status per SOX auditing requirements.
Placed call on "Pending Vendor" status, made entry in "Vendor Remote Access Log", and set the Active Directory Account to expire at the end of today (tomorrow for overnight work only).</t>
  </si>
  <si>
    <t>&lt; V. Open</t>
  </si>
  <si>
    <t>&lt; V. Close</t>
  </si>
  <si>
    <t>WORK COMPLETED : 
DISCONNECT TIME : 
TOTAL CONNECT TIME : 
Expired the ?? AD account and updated the vendor log. Closing Call</t>
  </si>
  <si>
    <t xml:space="preserve">Wildfire Lake Mead </t>
  </si>
  <si>
    <t>Retail Pro</t>
  </si>
  <si>
    <t>bhd</t>
  </si>
  <si>
    <t>help</t>
  </si>
  <si>
    <t>Wildfire Sunset</t>
  </si>
  <si>
    <t>9-1-702-495-3050</t>
  </si>
  <si>
    <t xml:space="preserve"> </t>
  </si>
  <si>
    <t>RRBAR01</t>
  </si>
  <si>
    <t>Awilla</t>
  </si>
  <si>
    <t>Sports Connection</t>
  </si>
  <si>
    <t>WIN Restart</t>
  </si>
  <si>
    <t>WIN Blank</t>
  </si>
  <si>
    <t>ZIT7181</t>
  </si>
  <si>
    <t>r3dp01nt</t>
  </si>
  <si>
    <t>MiniBar1</t>
  </si>
  <si>
    <t>ZITAWILLA01</t>
  </si>
  <si>
    <t>ZIT0444</t>
  </si>
  <si>
    <t>ZIT0446</t>
  </si>
  <si>
    <t>ZIT0245</t>
  </si>
  <si>
    <t>ZIT0246</t>
  </si>
  <si>
    <t>ZIT0441</t>
  </si>
  <si>
    <t>ZIT0279</t>
  </si>
  <si>
    <t>ZIT0473</t>
  </si>
  <si>
    <t>ZIT0474</t>
  </si>
  <si>
    <t>ZIT0475</t>
  </si>
  <si>
    <t>ZIT0476</t>
  </si>
  <si>
    <t>ZIT0477</t>
  </si>
  <si>
    <t>ZIT0478</t>
  </si>
  <si>
    <t>ZIT0442</t>
  </si>
  <si>
    <t>ZIT0443</t>
  </si>
  <si>
    <t>ZIT0445</t>
  </si>
  <si>
    <t>ZIT6218</t>
  </si>
  <si>
    <t>ZIT6220</t>
  </si>
  <si>
    <t>ZIT6208</t>
  </si>
  <si>
    <t>ZITSCSPECTRUM2</t>
  </si>
  <si>
    <t>ZITSCWIN2</t>
  </si>
  <si>
    <t>ZITSCNETBOTZ2</t>
  </si>
  <si>
    <t>ZITSCGTMON2</t>
  </si>
  <si>
    <t>ZITSCFOMON2</t>
  </si>
  <si>
    <t>ZIT0378</t>
  </si>
  <si>
    <t>ZITSCSPORTSC2</t>
  </si>
  <si>
    <t>ZITSCKIOSKMON</t>
  </si>
  <si>
    <t xml:space="preserve">ZITSCSCOM2 </t>
  </si>
  <si>
    <t>ZITSCMON1</t>
  </si>
  <si>
    <t>ZITSCMON2</t>
  </si>
  <si>
    <t>phamma</t>
  </si>
  <si>
    <t>Hammack, Peggy</t>
  </si>
  <si>
    <t>STNRPRO1</t>
  </si>
  <si>
    <t>nextdw</t>
  </si>
  <si>
    <t>nextdwpro</t>
  </si>
  <si>
    <t>FO400</t>
  </si>
  <si>
    <t>Solution</t>
  </si>
  <si>
    <t>iseriesmon</t>
  </si>
  <si>
    <t>WFLM</t>
  </si>
  <si>
    <t xml:space="preserve">Baldini’s </t>
  </si>
  <si>
    <t>R1</t>
  </si>
  <si>
    <t>LMEX0001</t>
  </si>
  <si>
    <t>Nick's Personal Cell</t>
  </si>
  <si>
    <t>FHPT0003</t>
  </si>
  <si>
    <t>SSAC0054</t>
  </si>
  <si>
    <t>crustr</t>
  </si>
  <si>
    <t>Rustria, Cherrie</t>
  </si>
  <si>
    <t>tssurve1</t>
  </si>
  <si>
    <t>Texas - Surveillance</t>
  </si>
  <si>
    <t>9-1-702-427-7756</t>
  </si>
  <si>
    <t>FHHK0003</t>
  </si>
  <si>
    <t>cgaspa</t>
  </si>
  <si>
    <t>Gaspar, Charlotte</t>
  </si>
  <si>
    <t>SSAC0034</t>
  </si>
  <si>
    <t>pdenor</t>
  </si>
  <si>
    <t>Denorio, Paul</t>
  </si>
  <si>
    <t>RRCG7700</t>
  </si>
  <si>
    <t>GVRC1817</t>
  </si>
  <si>
    <t>gvpromo3</t>
  </si>
  <si>
    <t>GVR - Promo3</t>
  </si>
  <si>
    <t>RRMK7607</t>
  </si>
  <si>
    <t>mcayab</t>
  </si>
  <si>
    <t>Cayabyab, Maria</t>
  </si>
  <si>
    <t>whillm</t>
  </si>
  <si>
    <t>Hillman IV, William</t>
  </si>
  <si>
    <t>ZITSCINFOGEN2</t>
  </si>
  <si>
    <t>KioskAdminW7</t>
  </si>
  <si>
    <t>Kiosks V3</t>
  </si>
  <si>
    <t>password123</t>
  </si>
  <si>
    <t>aburnh</t>
  </si>
  <si>
    <t>Burnham, Andrew</t>
  </si>
  <si>
    <t>Opera</t>
  </si>
  <si>
    <t>$1nGm3@$0nG</t>
  </si>
  <si>
    <t>Opera 10.2.254.34</t>
  </si>
  <si>
    <t>CHS Back office</t>
  </si>
  <si>
    <t>Solctr</t>
  </si>
  <si>
    <t>sfjanus</t>
  </si>
  <si>
    <t>sfjanus1</t>
  </si>
  <si>
    <t>9-1-702-797-7276</t>
  </si>
  <si>
    <t>SFSV4476</t>
  </si>
  <si>
    <t>sfsurv</t>
  </si>
  <si>
    <t>SantaFe - Surveillance</t>
  </si>
  <si>
    <t>TSSV1240</t>
  </si>
  <si>
    <t>TSSV9018</t>
  </si>
  <si>
    <t>SFPT6540</t>
  </si>
  <si>
    <t>mrodri</t>
  </si>
  <si>
    <t>Rodriguez, Marissa</t>
  </si>
  <si>
    <t>SFMK8862</t>
  </si>
  <si>
    <t>kweins</t>
  </si>
  <si>
    <t>Weinstein, Kenny</t>
  </si>
  <si>
    <t>GVPD7356</t>
  </si>
  <si>
    <t>wjamie</t>
  </si>
  <si>
    <t>Jamieson, Wendy</t>
  </si>
  <si>
    <t>PSCH1037</t>
  </si>
  <si>
    <t>ttaylo</t>
  </si>
  <si>
    <t>Taylor, Toni</t>
  </si>
  <si>
    <t>RRCN8210</t>
  </si>
  <si>
    <t>hlyons</t>
  </si>
  <si>
    <t>Lyons, Heather</t>
  </si>
  <si>
    <t>RRFB2163</t>
  </si>
  <si>
    <t>rrinroom</t>
  </si>
  <si>
    <t>RedRock - Inroom Ameranth</t>
  </si>
  <si>
    <t>FRFD0001</t>
  </si>
  <si>
    <t>hness</t>
  </si>
  <si>
    <t>Ness, Heather</t>
  </si>
  <si>
    <t>RRRS1897</t>
  </si>
  <si>
    <t>gdecar</t>
  </si>
  <si>
    <t>DeCarlo, Gina</t>
  </si>
  <si>
    <t>GVFD2010</t>
  </si>
  <si>
    <t>ltailo</t>
  </si>
  <si>
    <t>Tailor-Joniec, Lisa</t>
  </si>
  <si>
    <t>ssrstim005</t>
  </si>
  <si>
    <t>SSRSTIM005</t>
  </si>
  <si>
    <t>RRSV7677</t>
  </si>
  <si>
    <t>rrsurv</t>
  </si>
  <si>
    <t>RedRock - Surveillance Logon</t>
  </si>
  <si>
    <t>GVHR7389</t>
  </si>
  <si>
    <t>rwestl</t>
  </si>
  <si>
    <t>Chandler (Westly), Ronde</t>
  </si>
  <si>
    <t>SSAC0026</t>
  </si>
  <si>
    <t>dlewis</t>
  </si>
  <si>
    <t>Lewis, Deborah</t>
  </si>
  <si>
    <t>SSAC0042</t>
  </si>
  <si>
    <t>majones</t>
  </si>
  <si>
    <t>Jones, Marilyn</t>
  </si>
  <si>
    <t>SFPB1966</t>
  </si>
  <si>
    <t>mpusie</t>
  </si>
  <si>
    <t>Pusieski, Mary</t>
  </si>
  <si>
    <t>GVEX1782</t>
  </si>
  <si>
    <t>ballis</t>
  </si>
  <si>
    <t>Allison, Barbie</t>
  </si>
  <si>
    <t>TSBG8891</t>
  </si>
  <si>
    <t>ewonna</t>
  </si>
  <si>
    <t>Wonnacott, Ellen</t>
  </si>
  <si>
    <t>SSHK0001</t>
  </si>
  <si>
    <t>marisanc</t>
  </si>
  <si>
    <t>Sanchez, Maria A</t>
  </si>
  <si>
    <t>SSFD0010</t>
  </si>
  <si>
    <t>kijohns</t>
  </si>
  <si>
    <t>Johnstone, Kirsten</t>
  </si>
  <si>
    <t>SSSL0003</t>
  </si>
  <si>
    <t>tpotte</t>
  </si>
  <si>
    <t>Potter, Trevor</t>
  </si>
  <si>
    <t>RRSA1851</t>
  </si>
  <si>
    <t>kaznar</t>
  </si>
  <si>
    <t>Aznarez, Katie</t>
  </si>
  <si>
    <t>FRSC1091</t>
  </si>
  <si>
    <t>linduran</t>
  </si>
  <si>
    <t>Duran, Linda</t>
  </si>
  <si>
    <t>TSRS6686</t>
  </si>
  <si>
    <t>wwatso</t>
  </si>
  <si>
    <t>Watson, Warren</t>
  </si>
  <si>
    <t>BACG0002</t>
  </si>
  <si>
    <t>BACG0002\Administrator</t>
  </si>
  <si>
    <t>not found</t>
  </si>
  <si>
    <t>FRMK1215</t>
  </si>
  <si>
    <t>fipromo3</t>
  </si>
  <si>
    <t>FiestaR - Promotions Desk 3</t>
  </si>
  <si>
    <t>FREMB02</t>
  </si>
  <si>
    <t>FRGG1482</t>
  </si>
  <si>
    <t>FRMK1227</t>
  </si>
  <si>
    <t>FRMK1517</t>
  </si>
  <si>
    <t>FREMB03</t>
  </si>
  <si>
    <t>SFPT6537</t>
  </si>
  <si>
    <t>sfpitcl</t>
  </si>
  <si>
    <t>SFPITCL</t>
  </si>
  <si>
    <t>elmarti</t>
  </si>
  <si>
    <t>SSPT0001</t>
  </si>
  <si>
    <t>Martinez, Elisa</t>
  </si>
  <si>
    <t>GVCT1818</t>
  </si>
  <si>
    <t>mcladi</t>
  </si>
  <si>
    <t>Caldeira, Marcio</t>
  </si>
  <si>
    <t>GVSE1785</t>
  </si>
  <si>
    <t>cvalen</t>
  </si>
  <si>
    <t>Valenta, Chris</t>
  </si>
  <si>
    <t>ZEX0316</t>
  </si>
  <si>
    <t>ldecas</t>
  </si>
  <si>
    <t>DeCastro, Lucia</t>
  </si>
  <si>
    <t>FHPR0021</t>
  </si>
  <si>
    <t>jpedra</t>
  </si>
  <si>
    <t>Pedraza, Jazmin</t>
  </si>
  <si>
    <t>ZEX0372</t>
  </si>
  <si>
    <t>rwillia</t>
  </si>
  <si>
    <t>Williams, Raquel</t>
  </si>
  <si>
    <t>RRCT7687</t>
  </si>
  <si>
    <t>cbartl</t>
  </si>
  <si>
    <t>Bartl, Craig</t>
  </si>
  <si>
    <t>ZCC8966</t>
  </si>
  <si>
    <t>rgarne</t>
  </si>
  <si>
    <t>Garner, Ryan</t>
  </si>
  <si>
    <t>FHHR0003</t>
  </si>
  <si>
    <t>apai</t>
  </si>
  <si>
    <t>Pai, Angellia</t>
  </si>
  <si>
    <t>ZST7213</t>
  </si>
  <si>
    <t>rlambert</t>
  </si>
  <si>
    <t>Lambert, Ron</t>
  </si>
  <si>
    <t>ZEX6234</t>
  </si>
  <si>
    <t>preyes</t>
  </si>
  <si>
    <t>Reyes-Clipper, Prisca</t>
  </si>
  <si>
    <t>ZDC6560Q</t>
  </si>
  <si>
    <t>BSFB0016</t>
  </si>
  <si>
    <t>sesper</t>
  </si>
  <si>
    <t>Esperanza, Salvador</t>
  </si>
  <si>
    <t>RRMK5975</t>
  </si>
  <si>
    <t>lkinka</t>
  </si>
  <si>
    <t>Kinkade, Lesli</t>
  </si>
  <si>
    <t>ZEX0267</t>
  </si>
  <si>
    <t>ttrato</t>
  </si>
  <si>
    <t>Tratos, Teri</t>
  </si>
  <si>
    <t>FHPR0015</t>
  </si>
  <si>
    <t>Lpenic</t>
  </si>
  <si>
    <t>Peniche, Lourdes</t>
  </si>
  <si>
    <t>GVPITCMP1</t>
  </si>
  <si>
    <t>GVPT6457</t>
  </si>
  <si>
    <t>gvrpit</t>
  </si>
  <si>
    <t>GVR - Pit1</t>
  </si>
  <si>
    <t>PSCG0243</t>
  </si>
  <si>
    <t>zreyes</t>
  </si>
  <si>
    <t>Reyes, Zolla</t>
  </si>
  <si>
    <t>RRFB1867</t>
  </si>
  <si>
    <t>rcerva</t>
  </si>
  <si>
    <t>Cervantes, Raul</t>
  </si>
  <si>
    <t>10.245.38.63</t>
  </si>
  <si>
    <t>ZAC0286</t>
  </si>
  <si>
    <t>osalga</t>
  </si>
  <si>
    <t>Salgado, Olivia</t>
  </si>
  <si>
    <t>PSSV1235</t>
  </si>
  <si>
    <t>tcatta</t>
  </si>
  <si>
    <t>Cattani, Tony</t>
  </si>
  <si>
    <t>BSSV2081</t>
  </si>
  <si>
    <t>bssurv1</t>
  </si>
  <si>
    <t>Boulder - Surveillance</t>
  </si>
  <si>
    <t>GVPD7355</t>
  </si>
  <si>
    <t>evherna</t>
  </si>
  <si>
    <t>Hernandez, Evelyn</t>
  </si>
  <si>
    <t>WFRS0003</t>
  </si>
  <si>
    <t>wfrstim003</t>
  </si>
  <si>
    <t>WFRSTIM003</t>
  </si>
  <si>
    <t>SFFB8797</t>
  </si>
  <si>
    <t>lculpe</t>
  </si>
  <si>
    <t>Culpen, Lisa</t>
  </si>
  <si>
    <t>kroesc</t>
  </si>
  <si>
    <t>Roesch, Karin</t>
  </si>
  <si>
    <t>SSAC0024</t>
  </si>
  <si>
    <t>SFEX6973</t>
  </si>
  <si>
    <t>tbeave</t>
  </si>
  <si>
    <t>Beavers, Travis</t>
  </si>
  <si>
    <t>FHFB0011</t>
  </si>
  <si>
    <t>mhuffm</t>
  </si>
  <si>
    <t>Huffman, Mitchel</t>
  </si>
  <si>
    <t>FRSO1465</t>
  </si>
  <si>
    <t>rsteel</t>
  </si>
  <si>
    <t>Steele, Robert</t>
  </si>
  <si>
    <t>RRPB1804</t>
  </si>
  <si>
    <t>scarus</t>
  </si>
  <si>
    <t>Caruso, Sara</t>
  </si>
  <si>
    <t>WWSO2024</t>
  </si>
  <si>
    <t>mcasti</t>
  </si>
  <si>
    <t>Castillo, Mauricio</t>
  </si>
  <si>
    <t>SFCG6734</t>
  </si>
  <si>
    <t>eartig</t>
  </si>
  <si>
    <t>Artiga, Emma</t>
  </si>
  <si>
    <t>frcount</t>
  </si>
  <si>
    <t>FRCOUNT</t>
  </si>
  <si>
    <t>GVSL1787</t>
  </si>
  <si>
    <t>marguel</t>
  </si>
  <si>
    <t>Arguello, Marcos</t>
  </si>
  <si>
    <t>BSCG0006</t>
  </si>
  <si>
    <t>bscage6</t>
  </si>
  <si>
    <t>Boulder - Cage #6</t>
  </si>
  <si>
    <t>SFEG6743</t>
  </si>
  <si>
    <t>narivas</t>
  </si>
  <si>
    <t>Rivas, Nancy</t>
  </si>
  <si>
    <t>RRFB7616</t>
  </si>
  <si>
    <t>kbisho</t>
  </si>
  <si>
    <t>Bishop, Kelle</t>
  </si>
  <si>
    <t>ZEX6245</t>
  </si>
  <si>
    <t>jgriff</t>
  </si>
  <si>
    <t>Griffith, Jessica</t>
  </si>
  <si>
    <t>FRET6640</t>
  </si>
  <si>
    <t>slande</t>
  </si>
  <si>
    <t>Landess, Steve</t>
  </si>
  <si>
    <t>FHFB0005</t>
  </si>
  <si>
    <t>khelwi</t>
  </si>
  <si>
    <t>Helwig, Kimberly</t>
  </si>
  <si>
    <t>TSSO8896</t>
  </si>
  <si>
    <t>dizzo</t>
  </si>
  <si>
    <t>Izzo, Darlene</t>
  </si>
  <si>
    <t>ZEX0229</t>
  </si>
  <si>
    <t>dwonna</t>
  </si>
  <si>
    <t>Wonnacott, David</t>
  </si>
  <si>
    <t>TSHK8820</t>
  </si>
  <si>
    <t>tfrank</t>
  </si>
  <si>
    <t>Franklin, Tiffany</t>
  </si>
  <si>
    <t>PSPT2280</t>
  </si>
  <si>
    <t>pspit1</t>
  </si>
  <si>
    <t>Palace - Pit 1</t>
  </si>
  <si>
    <t>PSPT6930</t>
  </si>
  <si>
    <t>wvanee</t>
  </si>
  <si>
    <t>Vaneerde, William</t>
  </si>
  <si>
    <t>SSAC857</t>
  </si>
  <si>
    <t>SSAC0053</t>
  </si>
  <si>
    <t>jpagan</t>
  </si>
  <si>
    <t>Pagan, Juan</t>
  </si>
  <si>
    <t>PSAC1565</t>
  </si>
  <si>
    <t>rgrego</t>
  </si>
  <si>
    <t>Gregorio, Romeo</t>
  </si>
  <si>
    <t>GVHT7317</t>
  </si>
  <si>
    <t>lcazar</t>
  </si>
  <si>
    <t>Cazares, Lucila</t>
  </si>
  <si>
    <t>GVFB7390</t>
  </si>
  <si>
    <t>tehende</t>
  </si>
  <si>
    <t>Henderson, Terry</t>
  </si>
  <si>
    <t>fipromo2</t>
  </si>
  <si>
    <t>FiestaR - Promotions Desk 2</t>
  </si>
  <si>
    <t>BSFB0018</t>
  </si>
  <si>
    <t>pboeke</t>
  </si>
  <si>
    <t>Boekelmann, Peter</t>
  </si>
  <si>
    <t>PSFB1285</t>
  </si>
  <si>
    <t>almarti</t>
  </si>
  <si>
    <t>Martinez, Alfredo</t>
  </si>
  <si>
    <t>SSAC0047</t>
  </si>
  <si>
    <t>tchan</t>
  </si>
  <si>
    <t>Chan, Tiffany</t>
  </si>
  <si>
    <t>SSAC0071</t>
  </si>
  <si>
    <t>ifacus</t>
  </si>
  <si>
    <t>Garza, Imelda</t>
  </si>
  <si>
    <t>FRHR8757</t>
  </si>
  <si>
    <t>Mgodin</t>
  </si>
  <si>
    <t>Godinez, Monica</t>
  </si>
  <si>
    <t>ZEX6251</t>
  </si>
  <si>
    <t>ZEX0225</t>
  </si>
  <si>
    <t>nvilla</t>
  </si>
  <si>
    <t>Villafane, Norman</t>
  </si>
  <si>
    <t>saless</t>
  </si>
  <si>
    <t>Alessi, Samuel</t>
  </si>
  <si>
    <t>BSPK0008</t>
  </si>
  <si>
    <t>bsbravokiosk</t>
  </si>
  <si>
    <t>BSBRAVOKIOSK</t>
  </si>
  <si>
    <t>RRFB1959</t>
  </si>
  <si>
    <t>joyald</t>
  </si>
  <si>
    <t>Yalda, Jonathan</t>
  </si>
  <si>
    <t>TSAC9129</t>
  </si>
  <si>
    <t>jestein</t>
  </si>
  <si>
    <t>Steinquist, Jennifer</t>
  </si>
  <si>
    <t>TSFB9114</t>
  </si>
  <si>
    <t>dwalla</t>
  </si>
  <si>
    <t>Wallace, Deyon</t>
  </si>
  <si>
    <t>SFEX2642</t>
  </si>
  <si>
    <t>dromer</t>
  </si>
  <si>
    <t>Romero, Dessiri</t>
  </si>
  <si>
    <t>SSAC0021</t>
  </si>
  <si>
    <t>kmaner</t>
  </si>
  <si>
    <t>Manery, Katherine</t>
  </si>
  <si>
    <t>ZEX0312</t>
  </si>
  <si>
    <t>kjorge</t>
  </si>
  <si>
    <t>Jorgenson, Kelly</t>
  </si>
  <si>
    <t>BSCM0002</t>
  </si>
  <si>
    <t>rotty</t>
  </si>
  <si>
    <t>Otty, Richard</t>
  </si>
  <si>
    <t>FRFD0002</t>
  </si>
  <si>
    <t>rsotol</t>
  </si>
  <si>
    <t>Sotolongo, Raquel</t>
  </si>
  <si>
    <t>ZST6413</t>
  </si>
  <si>
    <t>jefelix</t>
  </si>
  <si>
    <t>Felix, Jesus</t>
  </si>
  <si>
    <t>RRHR1853</t>
  </si>
  <si>
    <t>rrreceiving</t>
  </si>
  <si>
    <t>RedRock - Receiving</t>
  </si>
  <si>
    <t>RRAC8252</t>
  </si>
  <si>
    <t>plim</t>
  </si>
  <si>
    <t>Lim, Phoebe</t>
  </si>
  <si>
    <t>RRAC8245</t>
  </si>
  <si>
    <t>moling</t>
  </si>
  <si>
    <t>Olingheru, Marinela</t>
  </si>
  <si>
    <t>sbeauc</t>
  </si>
  <si>
    <t>Beauchamp, Sarah</t>
  </si>
  <si>
    <t>ZEX0310</t>
  </si>
  <si>
    <t>SFSL4471</t>
  </si>
  <si>
    <t>Rlee</t>
  </si>
  <si>
    <t>Lee, Raymond</t>
  </si>
  <si>
    <t>BSHR0005</t>
  </si>
  <si>
    <t>bshrpromo</t>
  </si>
  <si>
    <t>Boulder - HR Video Pc</t>
  </si>
  <si>
    <t>ZEX0329</t>
  </si>
  <si>
    <t>mtoble</t>
  </si>
  <si>
    <t>Tobler, Monica</t>
  </si>
  <si>
    <t>BSGS0002</t>
  </si>
  <si>
    <t>bsretailpro</t>
  </si>
  <si>
    <t>Boulder - Retailpro</t>
  </si>
  <si>
    <t>SFFB8803</t>
  </si>
  <si>
    <t>jmazur</t>
  </si>
  <si>
    <t>Mazur, John</t>
  </si>
  <si>
    <t>ZEX6110</t>
  </si>
  <si>
    <t>abrand</t>
  </si>
  <si>
    <t>Brandonisio, Anthony</t>
  </si>
  <si>
    <t>10.241.37.203</t>
  </si>
  <si>
    <t>RRHR7639</t>
  </si>
  <si>
    <t>mmarin</t>
  </si>
  <si>
    <t>Atwell, Melissa</t>
  </si>
  <si>
    <t>TSGS8987</t>
  </si>
  <si>
    <t>RRSV1870</t>
  </si>
  <si>
    <t>jbrown</t>
  </si>
  <si>
    <t>Brown, Jim</t>
  </si>
  <si>
    <t>RRSV3800</t>
  </si>
  <si>
    <t>tsgift</t>
  </si>
  <si>
    <t>Texas - Gift Shop</t>
  </si>
  <si>
    <t>FRSL6634</t>
  </si>
  <si>
    <t>adelro</t>
  </si>
  <si>
    <t>Del Rosario, Aleana</t>
  </si>
  <si>
    <t>RRSV7675</t>
  </si>
  <si>
    <t>SSFB0010</t>
  </si>
  <si>
    <t>rfahey</t>
  </si>
  <si>
    <t>Fahey, Ryan</t>
  </si>
  <si>
    <t>RRBW1859</t>
  </si>
  <si>
    <t>rmcnic</t>
  </si>
  <si>
    <t>McNicholas, Rodney</t>
  </si>
  <si>
    <t>BSFD0006</t>
  </si>
  <si>
    <t>jwatso</t>
  </si>
  <si>
    <t>Watson, Joy</t>
  </si>
  <si>
    <t>Cthomp</t>
  </si>
  <si>
    <t>Thompson, Carol</t>
  </si>
  <si>
    <t>GVFB7461</t>
  </si>
  <si>
    <t>Gmeado</t>
  </si>
  <si>
    <t>Meadows, Glen</t>
  </si>
  <si>
    <t>ZEX0020</t>
  </si>
  <si>
    <t>Bordun</t>
  </si>
  <si>
    <t>Orduna, Brenda</t>
  </si>
  <si>
    <t>RRPT7682</t>
  </si>
  <si>
    <t>lbansi</t>
  </si>
  <si>
    <t>Bansil, Lloyd</t>
  </si>
  <si>
    <t>ZAC7188</t>
  </si>
  <si>
    <t>bamille</t>
  </si>
  <si>
    <t>Miller, Barbara</t>
  </si>
  <si>
    <t>PSFD0005</t>
  </si>
  <si>
    <t>tmoore</t>
  </si>
  <si>
    <t>Moore, Tiasha</t>
  </si>
  <si>
    <t>TSIC1625</t>
  </si>
  <si>
    <t>nrieck</t>
  </si>
  <si>
    <t>Rieck, Norman</t>
  </si>
  <si>
    <t>PSFD0001</t>
  </si>
  <si>
    <t>maluna</t>
  </si>
  <si>
    <t>Luna, Mark</t>
  </si>
  <si>
    <t>FHST0011</t>
  </si>
  <si>
    <t>bhilke</t>
  </si>
  <si>
    <t>Hilke, Brian</t>
  </si>
  <si>
    <t>SSRS0005</t>
  </si>
  <si>
    <t>Pamorr</t>
  </si>
  <si>
    <t>Morris, Paul</t>
  </si>
  <si>
    <t>RRFB7279</t>
  </si>
  <si>
    <t>tperny</t>
  </si>
  <si>
    <t>Pernyak, Tailene</t>
  </si>
  <si>
    <t>PSFB1284</t>
  </si>
  <si>
    <t>jdavid</t>
  </si>
  <si>
    <t>David, Jeneah</t>
  </si>
  <si>
    <t>RRFD2173</t>
  </si>
  <si>
    <t>stgalle</t>
  </si>
  <si>
    <t>Gallegos, Steven</t>
  </si>
  <si>
    <t>FHEX0007</t>
  </si>
  <si>
    <t>tbolwi</t>
  </si>
  <si>
    <t>Bolwin, Tom</t>
  </si>
  <si>
    <t>PSHK1566</t>
  </si>
  <si>
    <t>yegarci</t>
  </si>
  <si>
    <t>Garcia, Yesenia</t>
  </si>
  <si>
    <t>WWGG1757</t>
  </si>
  <si>
    <t>owalla</t>
  </si>
  <si>
    <t>Wallace, Otha</t>
  </si>
  <si>
    <t>FHPR0014</t>
  </si>
  <si>
    <t>cpotts</t>
  </si>
  <si>
    <t>Potts, Carol</t>
  </si>
  <si>
    <t>PSRC0002</t>
  </si>
  <si>
    <t>pspromo2</t>
  </si>
  <si>
    <t>Palace - Promo2</t>
  </si>
  <si>
    <t>PSAC1413</t>
  </si>
  <si>
    <t>jpulli</t>
  </si>
  <si>
    <t>Pulliam, Jackie</t>
  </si>
  <si>
    <t>FHACT850</t>
  </si>
  <si>
    <t>FHIA0001</t>
  </si>
  <si>
    <t>tnardi</t>
  </si>
  <si>
    <t>Nardiello, Tracy</t>
  </si>
  <si>
    <t>GVSP7344</t>
  </si>
  <si>
    <t>gvrspa7</t>
  </si>
  <si>
    <t>GVR - Spa #7</t>
  </si>
  <si>
    <t>GVSP7343</t>
  </si>
  <si>
    <t>gvrspa2</t>
  </si>
  <si>
    <t>GVR - Spa #2</t>
  </si>
  <si>
    <t>ZEX0308</t>
  </si>
  <si>
    <t>sgumm</t>
  </si>
  <si>
    <t>Gumm, Sandra</t>
  </si>
  <si>
    <t>RRHT1860</t>
  </si>
  <si>
    <t>jhalco</t>
  </si>
  <si>
    <t>Halcon, Jessica</t>
  </si>
  <si>
    <t>FHPR0018</t>
  </si>
  <si>
    <t>amalfe</t>
  </si>
  <si>
    <t>Malfero, Alice</t>
  </si>
  <si>
    <t>TSSE1472</t>
  </si>
  <si>
    <t>secure</t>
  </si>
  <si>
    <t>Texas - Security TM Entrance</t>
  </si>
  <si>
    <t>GVEN7305</t>
  </si>
  <si>
    <t>estmar</t>
  </si>
  <si>
    <t>St. Marie, Eric</t>
  </si>
  <si>
    <t>ZEX4898</t>
  </si>
  <si>
    <t>jworkm</t>
  </si>
  <si>
    <t>Workman, Jeff</t>
  </si>
  <si>
    <t>RREZ4397</t>
  </si>
  <si>
    <t>rrivs001</t>
  </si>
  <si>
    <t>RRIVS001</t>
  </si>
  <si>
    <t>RNFB5006</t>
  </si>
  <si>
    <t>tkosch</t>
  </si>
  <si>
    <t>Kosch, Trina</t>
  </si>
  <si>
    <t>RRMK7611</t>
  </si>
  <si>
    <t>auntal</t>
  </si>
  <si>
    <t>Untalasco, Alexa</t>
  </si>
  <si>
    <t>RRFB7689</t>
  </si>
  <si>
    <t>kmcgow</t>
  </si>
  <si>
    <t>McGowan, Kelly</t>
  </si>
  <si>
    <t>ZCC2044</t>
  </si>
  <si>
    <t>mpinto</t>
  </si>
  <si>
    <t>Pinto, Martha</t>
  </si>
  <si>
    <t>BSSK040</t>
  </si>
  <si>
    <t>BSMKKiosk01</t>
  </si>
  <si>
    <t>RRFB6487</t>
  </si>
  <si>
    <t>jville</t>
  </si>
  <si>
    <t>Villegas, Jesus</t>
  </si>
  <si>
    <t>RRHT1898</t>
  </si>
  <si>
    <t>bgomez</t>
  </si>
  <si>
    <t>Gomez, Brenda</t>
  </si>
  <si>
    <t>RRFB7678</t>
  </si>
  <si>
    <t>isylva</t>
  </si>
  <si>
    <t>Sylva, Ismael</t>
  </si>
  <si>
    <t>GVHK1796</t>
  </si>
  <si>
    <t>kstewa</t>
  </si>
  <si>
    <t>Stewart, Karen</t>
  </si>
  <si>
    <t>FHAC1557</t>
  </si>
  <si>
    <t>jhenke</t>
  </si>
  <si>
    <t>Henke, June</t>
  </si>
  <si>
    <t>WWST2039</t>
  </si>
  <si>
    <t>jchang</t>
  </si>
  <si>
    <t>Chang, Jae</t>
  </si>
  <si>
    <t>10.50.85.191</t>
  </si>
  <si>
    <t>SSCG0005</t>
  </si>
  <si>
    <t>sscage05</t>
  </si>
  <si>
    <t>SSCAGE05</t>
  </si>
  <si>
    <t>WAEZ7245</t>
  </si>
  <si>
    <t>jmurra</t>
  </si>
  <si>
    <t>Owens-Murray, Jennifer</t>
  </si>
  <si>
    <t>SFIM0432</t>
  </si>
  <si>
    <t>atorre</t>
  </si>
  <si>
    <t>Torres, Aura</t>
  </si>
  <si>
    <t>TSFB8824</t>
  </si>
  <si>
    <t>tthomp</t>
  </si>
  <si>
    <t>Thompson, Tiffani</t>
  </si>
  <si>
    <t>rpalo</t>
  </si>
  <si>
    <t>Palo, Robert</t>
  </si>
  <si>
    <t>ZEX0325</t>
  </si>
  <si>
    <t>gabruz</t>
  </si>
  <si>
    <t>Abruzzo, Geraldine</t>
  </si>
  <si>
    <t>ZEX0428</t>
  </si>
  <si>
    <t>mmarqu</t>
  </si>
  <si>
    <t>Marquardt, Marcelline</t>
  </si>
  <si>
    <t>MSIVS6075</t>
  </si>
  <si>
    <t>msivs001</t>
  </si>
  <si>
    <t>MSIVS001</t>
  </si>
  <si>
    <t>PSCG0003</t>
  </si>
  <si>
    <t>pscage3</t>
  </si>
  <si>
    <t>PS Cage 3</t>
  </si>
  <si>
    <t>RRCG2128</t>
  </si>
  <si>
    <t>PSST4799</t>
  </si>
  <si>
    <t>psivs001</t>
  </si>
  <si>
    <t>PSIVS001</t>
  </si>
  <si>
    <t>ZEX0313</t>
  </si>
  <si>
    <t>mmoral</t>
  </si>
  <si>
    <t>Morales, Miguel</t>
  </si>
  <si>
    <t>ZHR0010</t>
  </si>
  <si>
    <t>sriga</t>
  </si>
  <si>
    <t>Riga, Stephanie</t>
  </si>
  <si>
    <t>ZIT6227</t>
  </si>
  <si>
    <t>slau</t>
  </si>
  <si>
    <t>Lau, Stephanie</t>
  </si>
  <si>
    <t>RRHK8219</t>
  </si>
  <si>
    <t>mcavaz</t>
  </si>
  <si>
    <t>Cavazos, Miquel</t>
  </si>
  <si>
    <t>WWSO7237</t>
  </si>
  <si>
    <t>lriddi</t>
  </si>
  <si>
    <t>Riddick, Lesa</t>
  </si>
  <si>
    <t>BSSTT3530</t>
  </si>
  <si>
    <t>BSSO0007</t>
  </si>
  <si>
    <t>jkarch</t>
  </si>
  <si>
    <t>Karch, James</t>
  </si>
  <si>
    <t>PSEX7003</t>
  </si>
  <si>
    <t>jwalto</t>
  </si>
  <si>
    <t>Walton, Joshua</t>
  </si>
  <si>
    <t>R1RS0001</t>
  </si>
  <si>
    <t>nsfano</t>
  </si>
  <si>
    <t>Sfanos, Nicholas</t>
  </si>
  <si>
    <t>ZEX0389</t>
  </si>
  <si>
    <t>gschli</t>
  </si>
  <si>
    <t>Schlichenmayer, Gina</t>
  </si>
  <si>
    <t>RRPT6440</t>
  </si>
  <si>
    <t>rrpit1</t>
  </si>
  <si>
    <t>RRPIT1</t>
  </si>
  <si>
    <t>RRPT24301</t>
  </si>
  <si>
    <t>FRAC5913</t>
  </si>
  <si>
    <t>FRProgmeter</t>
  </si>
  <si>
    <t>FiestaR, Progressive Meter</t>
  </si>
  <si>
    <t>FIAC1568</t>
  </si>
  <si>
    <t>DTANDI</t>
  </si>
  <si>
    <t>Tandingan, Dolores</t>
  </si>
  <si>
    <t>FHPR0013</t>
  </si>
  <si>
    <t>jkulp</t>
  </si>
  <si>
    <t>Kulp, Jean</t>
  </si>
  <si>
    <t>GVPD1826</t>
  </si>
  <si>
    <t>rjacob</t>
  </si>
  <si>
    <t>Jacobsen, Richard</t>
  </si>
  <si>
    <t>BSPT5079</t>
  </si>
  <si>
    <t>bspit4</t>
  </si>
  <si>
    <t>Boulder - Pit #4</t>
  </si>
  <si>
    <t>RRCT1147</t>
  </si>
  <si>
    <t>tauric</t>
  </si>
  <si>
    <t>Auricchio, Teresa</t>
  </si>
  <si>
    <t>ZRC0203</t>
  </si>
  <si>
    <t>ehofst</t>
  </si>
  <si>
    <t>Hofstrom, Enita</t>
  </si>
  <si>
    <t>wfb ezpay 9.2</t>
  </si>
  <si>
    <t>GVEN2012</t>
  </si>
  <si>
    <t>rlewis</t>
  </si>
  <si>
    <t>Lewis, Reginald</t>
  </si>
  <si>
    <t>ZEX0311</t>
  </si>
  <si>
    <t>ltyler</t>
  </si>
  <si>
    <t>Tyler, Liz</t>
  </si>
  <si>
    <t>SFIC2674</t>
  </si>
  <si>
    <t>jiffer</t>
  </si>
  <si>
    <t>Iffert, James</t>
  </si>
  <si>
    <t>SFBW2647</t>
  </si>
  <si>
    <t>efunke</t>
  </si>
  <si>
    <t>Funke, Ed</t>
  </si>
  <si>
    <t>SFEG8818</t>
  </si>
  <si>
    <t>jliefk</t>
  </si>
  <si>
    <t>Liefke, James</t>
  </si>
  <si>
    <t>SFPT6727</t>
  </si>
  <si>
    <t>npulju</t>
  </si>
  <si>
    <t>Pulju, Nora</t>
  </si>
  <si>
    <t>ZEX0333</t>
  </si>
  <si>
    <t>kmartin</t>
  </si>
  <si>
    <t>Martin, Kristin</t>
  </si>
  <si>
    <t>GVPT6433</t>
  </si>
  <si>
    <t>Jpark</t>
  </si>
  <si>
    <t>Park, Joo</t>
  </si>
  <si>
    <t>jbanas</t>
  </si>
  <si>
    <t>Banas, Joseph</t>
  </si>
  <si>
    <t>FHST0004</t>
  </si>
  <si>
    <t>Rheffe</t>
  </si>
  <si>
    <t>Heffernan, Ryan</t>
  </si>
  <si>
    <t>PSAC6946</t>
  </si>
  <si>
    <t>khaas</t>
  </si>
  <si>
    <t>Haas, Kirstin</t>
  </si>
  <si>
    <t>PSGS8726</t>
  </si>
  <si>
    <t>psgiftshop</t>
  </si>
  <si>
    <t>Palace - Gift Shop</t>
  </si>
  <si>
    <t>RRST7622</t>
  </si>
  <si>
    <t>mlevec</t>
  </si>
  <si>
    <t>Leveck, Michael</t>
  </si>
  <si>
    <t>PSEX8823</t>
  </si>
  <si>
    <t>aberej</t>
  </si>
  <si>
    <t>Berejnoi, Alex</t>
  </si>
  <si>
    <t>WWGS2013</t>
  </si>
  <si>
    <t>Phenne</t>
  </si>
  <si>
    <t>Hennessy, Paula</t>
  </si>
  <si>
    <t>PSPT6895</t>
  </si>
  <si>
    <t>ckalla</t>
  </si>
  <si>
    <t>Kallaher, Christopher</t>
  </si>
  <si>
    <t>twei</t>
  </si>
  <si>
    <t>Wei, Tara</t>
  </si>
  <si>
    <t>GVEN7100</t>
  </si>
  <si>
    <t>psteve</t>
  </si>
  <si>
    <t>Stevenson, Patricia</t>
  </si>
  <si>
    <t>GVPT6453</t>
  </si>
  <si>
    <t>rkosin</t>
  </si>
  <si>
    <t>Kosinski, Ronald</t>
  </si>
  <si>
    <t>Ifacus</t>
  </si>
  <si>
    <t>GVIV2085</t>
  </si>
  <si>
    <t>gvcummins</t>
  </si>
  <si>
    <t>GVCummins</t>
  </si>
  <si>
    <t>fipromo4</t>
  </si>
  <si>
    <t>FiestaR - Promotions Desk 4</t>
  </si>
  <si>
    <t>Fipromo1</t>
  </si>
  <si>
    <t>FiestaR - Promotions Desk 1</t>
  </si>
  <si>
    <t>BSFD0001</t>
  </si>
  <si>
    <t>khofer</t>
  </si>
  <si>
    <t>Hofer, Kirk</t>
  </si>
  <si>
    <t>RRMK7606</t>
  </si>
  <si>
    <t>csouth</t>
  </si>
  <si>
    <t>Southwood, Claire</t>
  </si>
  <si>
    <t>PSCH8972</t>
  </si>
  <si>
    <t>GVSA7458</t>
  </si>
  <si>
    <t>kgaine</t>
  </si>
  <si>
    <t>Gaines, Kelly</t>
  </si>
  <si>
    <t>GVGS7323</t>
  </si>
  <si>
    <t>Pmorri</t>
  </si>
  <si>
    <t>Morris, Paula</t>
  </si>
  <si>
    <t>ZDC5055Q</t>
  </si>
  <si>
    <t>FRMK1452</t>
  </si>
  <si>
    <t>tcummi</t>
  </si>
  <si>
    <t>Cummings, Terry</t>
  </si>
  <si>
    <t>GRST0003</t>
  </si>
  <si>
    <t>grivs001</t>
  </si>
  <si>
    <t>GRIVS001</t>
  </si>
  <si>
    <t>jmarsh</t>
  </si>
  <si>
    <t>Marsh, Jesse</t>
  </si>
  <si>
    <t>dlione</t>
  </si>
  <si>
    <t>Lionetti, Deborah</t>
  </si>
  <si>
    <t>SSAC0040</t>
  </si>
  <si>
    <t>mmenes</t>
  </si>
  <si>
    <t>Menes, Melissa</t>
  </si>
  <si>
    <t>WFAC1436</t>
  </si>
  <si>
    <t>lnibec</t>
  </si>
  <si>
    <t>Nibecker, Lawrence</t>
  </si>
  <si>
    <t>ZAC0351</t>
  </si>
  <si>
    <t>pwilso</t>
  </si>
  <si>
    <t>Wilson, Philip</t>
  </si>
  <si>
    <t>PSHR8994</t>
  </si>
  <si>
    <t>ewidlo</t>
  </si>
  <si>
    <t>Widlowski, Elena</t>
  </si>
  <si>
    <t>FHSO0007</t>
  </si>
  <si>
    <t>FHICT457</t>
  </si>
  <si>
    <t>drosa</t>
  </si>
  <si>
    <t>Rosa, Diana</t>
  </si>
  <si>
    <t>GVHK0452</t>
  </si>
  <si>
    <t>GVHK1789</t>
  </si>
  <si>
    <t>lcorte</t>
  </si>
  <si>
    <t>Cortez, Lucila</t>
  </si>
  <si>
    <t>RRRS1740</t>
  </si>
  <si>
    <t>sjohns</t>
  </si>
  <si>
    <t>Johnston, Steve</t>
  </si>
  <si>
    <t>RRSO7278</t>
  </si>
  <si>
    <t>lbrown</t>
  </si>
  <si>
    <t>Brown, Lance</t>
  </si>
  <si>
    <t>RRMK7609</t>
  </si>
  <si>
    <t>aramos</t>
  </si>
  <si>
    <t>Ramos, Angelica</t>
  </si>
  <si>
    <t>MSCG0002</t>
  </si>
  <si>
    <t>acline</t>
  </si>
  <si>
    <t>Cline, April</t>
  </si>
  <si>
    <t>RRRS5038</t>
  </si>
  <si>
    <t>ZEX0323</t>
  </si>
  <si>
    <t>dgunde</t>
  </si>
  <si>
    <t>Gunderson, Darla</t>
  </si>
  <si>
    <t>SFFB8811</t>
  </si>
  <si>
    <t>chasmith</t>
  </si>
  <si>
    <t>Smith, Charles</t>
  </si>
  <si>
    <t>PSFD1203</t>
  </si>
  <si>
    <t>vruiz</t>
  </si>
  <si>
    <t>ruiz, vicky</t>
  </si>
  <si>
    <t>ZEX0309</t>
  </si>
  <si>
    <t>rdisan</t>
  </si>
  <si>
    <t>DiSanza, Rosemarie</t>
  </si>
  <si>
    <t>sabrao</t>
  </si>
  <si>
    <t>Abrao, Stephanie</t>
  </si>
  <si>
    <t>smorla</t>
  </si>
  <si>
    <t>Morlandhy, Soriya</t>
  </si>
  <si>
    <t>TSFB6669</t>
  </si>
  <si>
    <t>salbri</t>
  </si>
  <si>
    <t>Albright, Steven</t>
  </si>
  <si>
    <t>GVHT1975</t>
  </si>
  <si>
    <t>wgrisso</t>
  </si>
  <si>
    <t>Grissom, Wilburt</t>
  </si>
  <si>
    <t>sfcage5</t>
  </si>
  <si>
    <t>Santa Fe Cage 5</t>
  </si>
  <si>
    <t>WWCG0004</t>
  </si>
  <si>
    <t>jblayl</t>
  </si>
  <si>
    <t>Blaylock, Joseph</t>
  </si>
  <si>
    <t>BSSO0002</t>
  </si>
  <si>
    <t>alomma</t>
  </si>
  <si>
    <t>Lommason, Amanda</t>
  </si>
  <si>
    <t>RRBG1916</t>
  </si>
  <si>
    <t>kmadri</t>
  </si>
  <si>
    <t>Madrid, Kimberly</t>
  </si>
  <si>
    <t>rrsec</t>
  </si>
  <si>
    <t>RedRock - Security Logon</t>
  </si>
  <si>
    <t>csimmo</t>
  </si>
  <si>
    <t>Simmons, Christopher</t>
  </si>
  <si>
    <t>SSAC08551</t>
  </si>
  <si>
    <t>ps</t>
  </si>
  <si>
    <t>RRAC8244</t>
  </si>
  <si>
    <t>mjohnso</t>
  </si>
  <si>
    <t>Johnson, Mark</t>
  </si>
  <si>
    <t>SSAC0036</t>
  </si>
  <si>
    <t>jgarci</t>
  </si>
  <si>
    <t>Garcia, Jacqueline</t>
  </si>
  <si>
    <t>RRSL1592</t>
  </si>
  <si>
    <t>mtribu</t>
  </si>
  <si>
    <t>Tribus, Melissa</t>
  </si>
  <si>
    <t>ZEX0362</t>
  </si>
  <si>
    <t>rtrach</t>
  </si>
  <si>
    <t>Trachier, Renee</t>
  </si>
  <si>
    <t>PSAC9192</t>
  </si>
  <si>
    <t>lipeter</t>
  </si>
  <si>
    <t>Peterson, Linden</t>
  </si>
  <si>
    <t>TSEG8886</t>
  </si>
  <si>
    <t>shrust</t>
  </si>
  <si>
    <t>Hrustyk, Steven</t>
  </si>
  <si>
    <t>dtappa</t>
  </si>
  <si>
    <t>Tappan, Dustin</t>
  </si>
  <si>
    <t>BACG0001</t>
  </si>
  <si>
    <t>bacage1</t>
  </si>
  <si>
    <t>Barley's - Cage Window #1</t>
  </si>
  <si>
    <t>SSEN0002</t>
  </si>
  <si>
    <t>dmarti</t>
  </si>
  <si>
    <t>Martin, Debi</t>
  </si>
  <si>
    <t>FHFB0009</t>
  </si>
  <si>
    <t>CMENA</t>
  </si>
  <si>
    <t>Mena, Claudia</t>
  </si>
  <si>
    <t>FRSD0002</t>
  </si>
  <si>
    <t>TSCG9126</t>
  </si>
  <si>
    <t>shesmit</t>
  </si>
  <si>
    <t>Smith, Sheila</t>
  </si>
  <si>
    <t>ZCC0213</t>
  </si>
  <si>
    <t>Stoguc</t>
  </si>
  <si>
    <t>Toguchi, Sharon</t>
  </si>
  <si>
    <t>GVIC2123</t>
  </si>
  <si>
    <t>kboe</t>
  </si>
  <si>
    <t>Boe, Karen</t>
  </si>
  <si>
    <t>lray</t>
  </si>
  <si>
    <t>Potter, Loranda</t>
  </si>
  <si>
    <t>WWCG2026</t>
  </si>
  <si>
    <t>bpangi</t>
  </si>
  <si>
    <t>Pangilinan, Bernard</t>
  </si>
  <si>
    <t>RRFB13208</t>
  </si>
  <si>
    <t>SSPT0006</t>
  </si>
  <si>
    <t>dboshe</t>
  </si>
  <si>
    <t>Boshers, Dustin</t>
  </si>
  <si>
    <t>SSAC0073</t>
  </si>
  <si>
    <t>ba wl</t>
  </si>
  <si>
    <t>ZEX6106</t>
  </si>
  <si>
    <t>rromero</t>
  </si>
  <si>
    <t>Romero, Rosana</t>
  </si>
  <si>
    <t>WWRST1710</t>
  </si>
  <si>
    <t>naltil</t>
  </si>
  <si>
    <t>Antillon, Nina</t>
  </si>
  <si>
    <t>Drosa</t>
  </si>
  <si>
    <t>SFET4494</t>
  </si>
  <si>
    <t>PSPT4791</t>
  </si>
  <si>
    <t>glicht</t>
  </si>
  <si>
    <t>Lichtenberger, Gregory</t>
  </si>
  <si>
    <t>cevely</t>
  </si>
  <si>
    <t>Evely, Carolyn</t>
  </si>
  <si>
    <t>Jhenke</t>
  </si>
  <si>
    <t>SFEX2650</t>
  </si>
  <si>
    <t>mtrejo</t>
  </si>
  <si>
    <t>Trejo, Miguel</t>
  </si>
  <si>
    <t>TSEX6664</t>
  </si>
  <si>
    <t>lhardi</t>
  </si>
  <si>
    <t>Ahern, Lakeita</t>
  </si>
  <si>
    <t>RRCT4399</t>
  </si>
  <si>
    <t>Fperez</t>
  </si>
  <si>
    <t>Perez, Felipe</t>
  </si>
  <si>
    <t>SSAC0006</t>
  </si>
  <si>
    <t>SSACT1105</t>
  </si>
  <si>
    <t>gfajar</t>
  </si>
  <si>
    <t>Fajardo, Genaro</t>
  </si>
  <si>
    <t>GVHR7386</t>
  </si>
  <si>
    <t>RFerre</t>
  </si>
  <si>
    <t>Ferreira, Rebeca</t>
  </si>
  <si>
    <t>ZFB0009</t>
  </si>
  <si>
    <t>PDonko</t>
  </si>
  <si>
    <t>Donkonics, Peter</t>
  </si>
  <si>
    <t>BSSO0004</t>
  </si>
  <si>
    <t>Omsanch</t>
  </si>
  <si>
    <t>Sanchez, Omar</t>
  </si>
  <si>
    <t>RRFB4390</t>
  </si>
  <si>
    <t>czenne</t>
  </si>
  <si>
    <t>Zenner, Craig</t>
  </si>
  <si>
    <t>WWEN2033</t>
  </si>
  <si>
    <t>mthaye</t>
  </si>
  <si>
    <t>Thayer, Milan</t>
  </si>
  <si>
    <t>TSEN8938</t>
  </si>
  <si>
    <t>omarti</t>
  </si>
  <si>
    <t>Martinez, Oscar</t>
  </si>
  <si>
    <t>GVCD7393</t>
  </si>
  <si>
    <t>ntummi</t>
  </si>
  <si>
    <t>Tumminia, Nicholas</t>
  </si>
  <si>
    <t>FHPR0005</t>
  </si>
  <si>
    <t>bgentr</t>
  </si>
  <si>
    <t>Gentry, Bobbilyn</t>
  </si>
  <si>
    <t>RRFB7680</t>
  </si>
  <si>
    <t>rtinkh</t>
  </si>
  <si>
    <t>Tinkham, Ryan</t>
  </si>
  <si>
    <t>10.245.38.74</t>
  </si>
  <si>
    <t>RRFB38002</t>
  </si>
  <si>
    <t>RRGS4362</t>
  </si>
  <si>
    <t>nurrut</t>
  </si>
  <si>
    <t>Urrutia, Nancy</t>
  </si>
  <si>
    <t>RRCO7641</t>
  </si>
  <si>
    <t>wburt</t>
  </si>
  <si>
    <t>Burt, William</t>
  </si>
  <si>
    <t>TSIM8933</t>
  </si>
  <si>
    <t>mmatey</t>
  </si>
  <si>
    <t>Mateyka, Mitchell</t>
  </si>
  <si>
    <t>GVCT7496</t>
  </si>
  <si>
    <t>Jiwats</t>
  </si>
  <si>
    <t>Iwatsubo, John</t>
  </si>
  <si>
    <t>RNEX7428</t>
  </si>
  <si>
    <t>lusmith</t>
  </si>
  <si>
    <t>Smith, Lucas</t>
  </si>
  <si>
    <t>RRAC7224</t>
  </si>
  <si>
    <t>ckim</t>
  </si>
  <si>
    <t>Kim, Charlie</t>
  </si>
  <si>
    <t>cognos</t>
  </si>
  <si>
    <t>SSAC0061</t>
  </si>
  <si>
    <t>cpache</t>
  </si>
  <si>
    <t>Pacheco, Callie</t>
  </si>
  <si>
    <t>FHPB0002</t>
  </si>
  <si>
    <t>fhamigo2</t>
  </si>
  <si>
    <t>FiestaH - Promotions Desk 2</t>
  </si>
  <si>
    <t>ZMK0272</t>
  </si>
  <si>
    <t>kjosli</t>
  </si>
  <si>
    <t>Joslin, Kimberly</t>
  </si>
  <si>
    <t>PSAC4762</t>
  </si>
  <si>
    <t>pscount</t>
  </si>
  <si>
    <t>PSCOUNT</t>
  </si>
  <si>
    <t>RRMK7269</t>
  </si>
  <si>
    <t>fdupke</t>
  </si>
  <si>
    <t>Dupke, Fredrick</t>
  </si>
  <si>
    <t xml:space="preserve">pd office </t>
  </si>
  <si>
    <t>BSST0015</t>
  </si>
  <si>
    <t>vcota</t>
  </si>
  <si>
    <t>Cota, Veronica</t>
  </si>
  <si>
    <t>GVPD7357</t>
  </si>
  <si>
    <t>stclark</t>
  </si>
  <si>
    <t>Clarke, Steven</t>
  </si>
  <si>
    <t>SSFB0011</t>
  </si>
  <si>
    <t>rigarci</t>
  </si>
  <si>
    <t>Garcia, Ricardo</t>
  </si>
  <si>
    <t>sscage04</t>
  </si>
  <si>
    <t>SSCAGE04</t>
  </si>
  <si>
    <t>SSCG0003</t>
  </si>
  <si>
    <t>pssurv</t>
  </si>
  <si>
    <t>Palace - Surveillance</t>
  </si>
  <si>
    <t>ZEX6248</t>
  </si>
  <si>
    <t>armarti</t>
  </si>
  <si>
    <t>Martinez, Araceli</t>
  </si>
  <si>
    <t>BSBG0001</t>
  </si>
  <si>
    <t>dmatti</t>
  </si>
  <si>
    <t>Mattice, Donald</t>
  </si>
  <si>
    <t>GVBD7316</t>
  </si>
  <si>
    <t>Ntummi</t>
  </si>
  <si>
    <t>GVBD1770</t>
  </si>
  <si>
    <t>dlappi</t>
  </si>
  <si>
    <t>Lappin, Desiree</t>
  </si>
  <si>
    <t>pass admin</t>
  </si>
  <si>
    <t>ZITAMUSTI</t>
  </si>
  <si>
    <t>bosazu</t>
  </si>
  <si>
    <t>Osazuwa, Bolton</t>
  </si>
  <si>
    <t>ZAC0359</t>
  </si>
  <si>
    <t>Emarna</t>
  </si>
  <si>
    <t>Marnach, Elizabeth</t>
  </si>
  <si>
    <t>PSRC0004</t>
  </si>
  <si>
    <t>pspromo4</t>
  </si>
  <si>
    <t>Palace - Promo4</t>
  </si>
  <si>
    <t>GVFB7382</t>
  </si>
  <si>
    <t>Erbrown</t>
  </si>
  <si>
    <t>Brown, Ernest</t>
  </si>
  <si>
    <t>ps ww gr lm wa</t>
  </si>
  <si>
    <t>BSFD0005</t>
  </si>
  <si>
    <t>cmcrae</t>
  </si>
  <si>
    <t>McRae, Christina</t>
  </si>
  <si>
    <t>FHMK0004</t>
  </si>
  <si>
    <t>sserva</t>
  </si>
  <si>
    <t>Servantes, Sandra</t>
  </si>
  <si>
    <t>FRCG1448</t>
  </si>
  <si>
    <t>ralvar</t>
  </si>
  <si>
    <t>Alvarez, Rosita</t>
  </si>
  <si>
    <t>SSCG0009</t>
  </si>
  <si>
    <t>sscage09</t>
  </si>
  <si>
    <t>SSCAGE09</t>
  </si>
  <si>
    <t>FRCG0003</t>
  </si>
  <si>
    <t>ficage3</t>
  </si>
  <si>
    <t>Cage 3, Fiesta</t>
  </si>
  <si>
    <t>TSSL2410</t>
  </si>
  <si>
    <t>gflemi</t>
  </si>
  <si>
    <t>Fleming, Gwen</t>
  </si>
  <si>
    <t>ZCC1373</t>
  </si>
  <si>
    <t>bebrow</t>
  </si>
  <si>
    <t>Brown, Betty</t>
  </si>
  <si>
    <t>BSHK0003</t>
  </si>
  <si>
    <t>Bcontr</t>
  </si>
  <si>
    <t>Contreras, Blanca</t>
  </si>
  <si>
    <t>llopez title 31</t>
  </si>
  <si>
    <t>BSST3688</t>
  </si>
  <si>
    <t>llopez</t>
  </si>
  <si>
    <t>Lopez, Landy</t>
  </si>
  <si>
    <t>GVFB1987</t>
  </si>
  <si>
    <t>aramir</t>
  </si>
  <si>
    <t>Ramirez, Armando</t>
  </si>
  <si>
    <t>BSST0007</t>
  </si>
  <si>
    <t>bsivs001</t>
  </si>
  <si>
    <t>BSIVS001</t>
  </si>
  <si>
    <t>TSSO8885</t>
  </si>
  <si>
    <t>RRAC7589</t>
  </si>
  <si>
    <t>dpatte</t>
  </si>
  <si>
    <t>Muscarello (Patten), Donna</t>
  </si>
  <si>
    <t>GVEN6497</t>
  </si>
  <si>
    <t>GVEN7459</t>
  </si>
  <si>
    <t>cburto</t>
  </si>
  <si>
    <t>Burton, Christopher</t>
  </si>
  <si>
    <t>RRAC7586</t>
  </si>
  <si>
    <t>flombi</t>
  </si>
  <si>
    <t>Lombino, Felicia</t>
  </si>
  <si>
    <t>ZCC1882</t>
  </si>
  <si>
    <t>\\Stnfs2wv\PROFILES\mpinto</t>
  </si>
  <si>
    <t>ZEX0239</t>
  </si>
  <si>
    <t>rhicke</t>
  </si>
  <si>
    <t>Hicken, Rod</t>
  </si>
  <si>
    <t>dqueza</t>
  </si>
  <si>
    <t>Quezada, Daniel</t>
  </si>
  <si>
    <t>Shrust</t>
  </si>
  <si>
    <t>ZCC1717</t>
  </si>
  <si>
    <t>RRHR8259</t>
  </si>
  <si>
    <t>Mboka</t>
  </si>
  <si>
    <t>Boka, Mike</t>
  </si>
  <si>
    <t>ZEX6182</t>
  </si>
  <si>
    <t>10.241.36.43</t>
  </si>
  <si>
    <t>PSSL1613</t>
  </si>
  <si>
    <t>ebmcnei</t>
  </si>
  <si>
    <t>McNeill, Ernie III</t>
  </si>
  <si>
    <t>Zawislak, Christine</t>
  </si>
  <si>
    <t>RRCG0005</t>
  </si>
  <si>
    <t>czawis</t>
  </si>
  <si>
    <t>ZCC1386</t>
  </si>
  <si>
    <t>dkatz</t>
  </si>
  <si>
    <t>Katz, Debra</t>
  </si>
  <si>
    <t>Jsampl</t>
  </si>
  <si>
    <t>Sample, John</t>
  </si>
  <si>
    <t>PSAC1336</t>
  </si>
  <si>
    <t>mmarsh</t>
  </si>
  <si>
    <t>Marshall, Marivic</t>
  </si>
  <si>
    <t>RRAC8251</t>
  </si>
  <si>
    <t>RRCN8223</t>
  </si>
  <si>
    <t>sganno</t>
  </si>
  <si>
    <t>Deblanc, Stefanie</t>
  </si>
  <si>
    <t>SSFB0014</t>
  </si>
  <si>
    <t>itruji</t>
  </si>
  <si>
    <t>Trujillo, Irene</t>
  </si>
  <si>
    <t>GRATONPC01</t>
  </si>
  <si>
    <t>Winkler, Ryan</t>
  </si>
  <si>
    <t>rwinkl</t>
  </si>
  <si>
    <t>SSAC0050</t>
  </si>
  <si>
    <t>csanch</t>
  </si>
  <si>
    <t>Sanchez, Carlos</t>
  </si>
  <si>
    <t>wfb</t>
  </si>
  <si>
    <t>TSCG9125</t>
  </si>
  <si>
    <t>rodemar</t>
  </si>
  <si>
    <t>De Martinez, Rocio Rasch</t>
  </si>
  <si>
    <t>Fipromo3</t>
  </si>
  <si>
    <t>RRSA3051</t>
  </si>
  <si>
    <t>eruiz</t>
  </si>
  <si>
    <t>Ruiz, Erica</t>
  </si>
  <si>
    <t>RRMK8258</t>
  </si>
  <si>
    <t>fmazze</t>
  </si>
  <si>
    <t>Mazzella, Francine</t>
  </si>
  <si>
    <t>ZIA6888</t>
  </si>
  <si>
    <t>Intaudit</t>
  </si>
  <si>
    <t>IntAudit</t>
  </si>
  <si>
    <t>FHEX0005</t>
  </si>
  <si>
    <t>scnelso</t>
  </si>
  <si>
    <t>Nelson, Scott</t>
  </si>
  <si>
    <t>ZEX0290</t>
  </si>
  <si>
    <t>awilli</t>
  </si>
  <si>
    <t>Cleveland, Annie</t>
  </si>
  <si>
    <t>FRFB1279</t>
  </si>
  <si>
    <t>jelopez</t>
  </si>
  <si>
    <t>Lopez, Jesus</t>
  </si>
  <si>
    <t>TSCG9128</t>
  </si>
  <si>
    <t>tscage7</t>
  </si>
  <si>
    <t>TScage7</t>
  </si>
  <si>
    <t>FRSV6643</t>
  </si>
  <si>
    <t>rforem</t>
  </si>
  <si>
    <t>Foreman, Robert</t>
  </si>
  <si>
    <t>TSMK1524</t>
  </si>
  <si>
    <t>Mbodet</t>
  </si>
  <si>
    <t>Bodet, Michael</t>
  </si>
  <si>
    <t>Bkeylo</t>
  </si>
  <si>
    <t>Keylor, Bruce</t>
  </si>
  <si>
    <t>ZAC0012</t>
  </si>
  <si>
    <t>Aevans</t>
  </si>
  <si>
    <t>Wesley, Angela</t>
  </si>
  <si>
    <t>FHFD0003</t>
  </si>
  <si>
    <t>Ecatap</t>
  </si>
  <si>
    <t>Catapat, Edgar</t>
  </si>
  <si>
    <t>SSEN0008</t>
  </si>
  <si>
    <t>rameye</t>
  </si>
  <si>
    <t>Meyer, Ralph</t>
  </si>
  <si>
    <t>WFEG1303</t>
  </si>
  <si>
    <t>sneuse</t>
  </si>
  <si>
    <t>Neuser, Scott</t>
  </si>
  <si>
    <t>FRSO1480</t>
  </si>
  <si>
    <t>ZEX0398</t>
  </si>
  <si>
    <t>ekingh</t>
  </si>
  <si>
    <t>Kingham, Eugenia (Genie)</t>
  </si>
  <si>
    <t>SSAC0060</t>
  </si>
  <si>
    <t>rkloss</t>
  </si>
  <si>
    <t>Kloss, Rhonda</t>
  </si>
  <si>
    <t>b   sf ps ts</t>
  </si>
  <si>
    <t>BSIA2955</t>
  </si>
  <si>
    <t>BSIAT205</t>
  </si>
  <si>
    <t>BSETT3500</t>
  </si>
  <si>
    <t>ZEX0355</t>
  </si>
  <si>
    <t>dgilde</t>
  </si>
  <si>
    <t>Gildersleeve, Dave</t>
  </si>
  <si>
    <t>PSKE0135</t>
  </si>
  <si>
    <t>vdisco</t>
  </si>
  <si>
    <t>Discon, Valerie</t>
  </si>
  <si>
    <t>PSPT6914</t>
  </si>
  <si>
    <t>lsmorrow</t>
  </si>
  <si>
    <t>Morrow, Scott</t>
  </si>
  <si>
    <t>SSAC0048</t>
  </si>
  <si>
    <t>cbauti</t>
  </si>
  <si>
    <t>Bautista, Christy</t>
  </si>
  <si>
    <t>RRIM8204</t>
  </si>
  <si>
    <t>jmumma</t>
  </si>
  <si>
    <t>Mumma, Jeremy</t>
  </si>
  <si>
    <t>BSST0024</t>
  </si>
  <si>
    <t>kkae</t>
  </si>
  <si>
    <t>Kae-Ratana, Krich</t>
  </si>
  <si>
    <t>MSSB0001</t>
  </si>
  <si>
    <t>myurik</t>
  </si>
  <si>
    <t>Yurik, Michael</t>
  </si>
  <si>
    <t>stith</t>
  </si>
  <si>
    <t>Tith, Solvay</t>
  </si>
  <si>
    <t>SSCH0002</t>
  </si>
  <si>
    <t>Mvelas</t>
  </si>
  <si>
    <t>Velasco, Mauricio</t>
  </si>
  <si>
    <t>SFSC6975</t>
  </si>
  <si>
    <t>mdeguz</t>
  </si>
  <si>
    <t>de Guzman, Mike</t>
  </si>
  <si>
    <t>ZEX6143</t>
  </si>
  <si>
    <t>dspath</t>
  </si>
  <si>
    <t>Spath, Daniel</t>
  </si>
  <si>
    <t>WFEX0922</t>
  </si>
  <si>
    <t>cburke</t>
  </si>
  <si>
    <t>Burke, Carla</t>
  </si>
  <si>
    <t>Nelson, Lori</t>
  </si>
  <si>
    <t>ZEX0344</t>
  </si>
  <si>
    <t>lnelso</t>
  </si>
  <si>
    <t>GVCG0006</t>
  </si>
  <si>
    <t>gvcage4</t>
  </si>
  <si>
    <t>GVR - Cage4</t>
  </si>
  <si>
    <t>PSSL8939</t>
  </si>
  <si>
    <t>Scornw</t>
  </si>
  <si>
    <t>Lederman, Shauna</t>
  </si>
  <si>
    <t>awilso</t>
  </si>
  <si>
    <t>Wilson, Amanda</t>
  </si>
  <si>
    <t>ZEX0291</t>
  </si>
  <si>
    <t>dhoelz</t>
  </si>
  <si>
    <t>Hoelzer, David</t>
  </si>
  <si>
    <t>FRCG0002</t>
  </si>
  <si>
    <t>ficage2</t>
  </si>
  <si>
    <t>Cage 2, Fiesta</t>
  </si>
  <si>
    <t>GVTG7050</t>
  </si>
  <si>
    <t>shdrisc</t>
  </si>
  <si>
    <t>Driscoll, Sharon</t>
  </si>
  <si>
    <t>ZEX0248</t>
  </si>
  <si>
    <t>dleavi</t>
  </si>
  <si>
    <t>Leavitt, David</t>
  </si>
  <si>
    <t>SSAC0007</t>
  </si>
  <si>
    <t>ssouth</t>
  </si>
  <si>
    <t>South, Steven</t>
  </si>
  <si>
    <t>SSAC5901</t>
  </si>
  <si>
    <t>ssprogmeter</t>
  </si>
  <si>
    <t>Sunset, Progressive Meter</t>
  </si>
  <si>
    <t>TSSL1221</t>
  </si>
  <si>
    <t>twillia</t>
  </si>
  <si>
    <t>Williams, Ted</t>
  </si>
  <si>
    <t>SSAC0023</t>
  </si>
  <si>
    <t>rojaram</t>
  </si>
  <si>
    <t>Jaramillo, Robyn</t>
  </si>
  <si>
    <t>RRSP7599</t>
  </si>
  <si>
    <t>eheim</t>
  </si>
  <si>
    <t>Heim, Emily</t>
  </si>
  <si>
    <t>RRSP7598</t>
  </si>
  <si>
    <t>GVRC1704</t>
  </si>
  <si>
    <t>gvpromo1</t>
  </si>
  <si>
    <t>GVR - Promo1</t>
  </si>
  <si>
    <t>GVRC1793</t>
  </si>
  <si>
    <t>gvpromo2</t>
  </si>
  <si>
    <t>GVR - Promo2</t>
  </si>
  <si>
    <t>WVEX7263</t>
  </si>
  <si>
    <t>aspata</t>
  </si>
  <si>
    <t>Spataro, Amy</t>
  </si>
  <si>
    <t>SSHK0005</t>
  </si>
  <si>
    <t>wvelas</t>
  </si>
  <si>
    <t>Velasco, Wilfredo</t>
  </si>
  <si>
    <t>SSHR0003</t>
  </si>
  <si>
    <t>obruba</t>
  </si>
  <si>
    <t>Brubaker, Olympia</t>
  </si>
  <si>
    <t>GVHT1810</t>
  </si>
  <si>
    <t>raguay</t>
  </si>
  <si>
    <t>Aguayo, Rosalie</t>
  </si>
  <si>
    <t>FRSL6637</t>
  </si>
  <si>
    <t>cbradl</t>
  </si>
  <si>
    <t>Bradley, Charles</t>
  </si>
  <si>
    <t>SSFB0012</t>
  </si>
  <si>
    <t>meramir</t>
  </si>
  <si>
    <t>Ramirez, Melanie</t>
  </si>
  <si>
    <t>GVIC7304</t>
  </si>
  <si>
    <t>fbruno</t>
  </si>
  <si>
    <t>Bruno, Fred</t>
  </si>
  <si>
    <t>BSFB0017</t>
  </si>
  <si>
    <t>pbritt</t>
  </si>
  <si>
    <t>Britt, Pamela</t>
  </si>
  <si>
    <t>ZEX6258</t>
  </si>
  <si>
    <t>Bfinch</t>
  </si>
  <si>
    <t>Finch, Bob</t>
  </si>
  <si>
    <t>WAFB1994</t>
  </si>
  <si>
    <t>waivs001</t>
  </si>
  <si>
    <t>WAIVS001</t>
  </si>
  <si>
    <t>GVPD6479</t>
  </si>
  <si>
    <t>tcosen</t>
  </si>
  <si>
    <t>Cosentino, Tony</t>
  </si>
  <si>
    <t>ZIA6889</t>
  </si>
  <si>
    <t>gharri</t>
  </si>
  <si>
    <t>Harris, George</t>
  </si>
  <si>
    <t>ZIT7190</t>
  </si>
  <si>
    <t>SFPT6539</t>
  </si>
  <si>
    <t>ychou</t>
  </si>
  <si>
    <t>Chou, Yu</t>
  </si>
  <si>
    <t>bwyman</t>
  </si>
  <si>
    <t>Wyman, Bob</t>
  </si>
  <si>
    <t>RRST7623</t>
  </si>
  <si>
    <t>SSSL0002</t>
  </si>
  <si>
    <t>Lbarbo</t>
  </si>
  <si>
    <t>Barbosa, Laurie</t>
  </si>
  <si>
    <t>mwesol</t>
  </si>
  <si>
    <t>Wesolek, Michael</t>
  </si>
  <si>
    <t>GVEN7325</t>
  </si>
  <si>
    <t>ASDziak</t>
  </si>
  <si>
    <t>Dziak, Ashley</t>
  </si>
  <si>
    <t>WFHR3859</t>
  </si>
  <si>
    <t>ZEX0324</t>
  </si>
  <si>
    <t>smcnal</t>
  </si>
  <si>
    <t>McNally, Suzanne</t>
  </si>
  <si>
    <t>TSEN1293</t>
  </si>
  <si>
    <t>Pkerro</t>
  </si>
  <si>
    <t>Kerro, Paula</t>
  </si>
  <si>
    <t>ZEX0334</t>
  </si>
  <si>
    <t>FHCG0005</t>
  </si>
  <si>
    <t>vnegri</t>
  </si>
  <si>
    <t>Negriev, Vasilka</t>
  </si>
  <si>
    <t>SSIC0001</t>
  </si>
  <si>
    <t>kpalac</t>
  </si>
  <si>
    <t>Palacio, Keisha</t>
  </si>
  <si>
    <t>GRSB0002</t>
  </si>
  <si>
    <t>bmukes</t>
  </si>
  <si>
    <t>Mukes, Brandon</t>
  </si>
  <si>
    <t>SSAC0064</t>
  </si>
  <si>
    <t>josatsa</t>
  </si>
  <si>
    <t>Satsatin, Joshua</t>
  </si>
  <si>
    <t>PSFB8703</t>
  </si>
  <si>
    <t>ciwhite</t>
  </si>
  <si>
    <t>White, Cindy Lu</t>
  </si>
  <si>
    <t>PSFB40151Q</t>
  </si>
  <si>
    <t>RRRC1894</t>
  </si>
  <si>
    <t>hrapp</t>
  </si>
  <si>
    <t>Rapp, Hannah</t>
  </si>
  <si>
    <t>RRHR2142</t>
  </si>
  <si>
    <t>ddavil</t>
  </si>
  <si>
    <t>Davila, Diana</t>
  </si>
  <si>
    <t>ZMK0003</t>
  </si>
  <si>
    <t>edudoi</t>
  </si>
  <si>
    <t>Dudoit, Erika</t>
  </si>
  <si>
    <t>ZEX0470</t>
  </si>
  <si>
    <t>bmckie</t>
  </si>
  <si>
    <t>McKie, Bill</t>
  </si>
  <si>
    <t>SSIA0001</t>
  </si>
  <si>
    <t>FHEX0015</t>
  </si>
  <si>
    <t>wdelac</t>
  </si>
  <si>
    <t>Delacruz, Winnjay</t>
  </si>
  <si>
    <t>FHSC0002</t>
  </si>
  <si>
    <t>Tslatt</t>
  </si>
  <si>
    <t>Slattery, Theresa</t>
  </si>
  <si>
    <t>ZMK6233</t>
  </si>
  <si>
    <t>acarr</t>
  </si>
  <si>
    <t>Carr, Amelia</t>
  </si>
  <si>
    <t>ZEX0332</t>
  </si>
  <si>
    <t>vcanil</t>
  </si>
  <si>
    <t>Canilao, Veronica</t>
  </si>
  <si>
    <t>WVFB7625</t>
  </si>
  <si>
    <t>jhampe</t>
  </si>
  <si>
    <t>Hampe, Joel</t>
  </si>
  <si>
    <t>GVSP7084</t>
  </si>
  <si>
    <t>jnardo</t>
  </si>
  <si>
    <t>Nardone, Jorinda</t>
  </si>
  <si>
    <t>TSHK8828</t>
  </si>
  <si>
    <t>wjenki</t>
  </si>
  <si>
    <t>Jenkins, Wanda</t>
  </si>
  <si>
    <t>WFCG0002</t>
  </si>
  <si>
    <t>mkasza</t>
  </si>
  <si>
    <t>Kaszala, Margit</t>
  </si>
  <si>
    <t>RRFB8218</t>
  </si>
  <si>
    <t>GGoldb</t>
  </si>
  <si>
    <t>Goldbaum, Grant</t>
  </si>
  <si>
    <t>FHHK0001</t>
  </si>
  <si>
    <t>cjacks</t>
  </si>
  <si>
    <t>Jackson, Crystal</t>
  </si>
  <si>
    <t>StClark</t>
  </si>
  <si>
    <t>Ballis</t>
  </si>
  <si>
    <t>SSST0011</t>
  </si>
  <si>
    <t>mhemer</t>
  </si>
  <si>
    <t>Amato-von Hemert, Michael</t>
  </si>
  <si>
    <t>FHFB0015</t>
  </si>
  <si>
    <t>jermarti</t>
  </si>
  <si>
    <t>Martinez, Jerome</t>
  </si>
  <si>
    <t>RRCT1157</t>
  </si>
  <si>
    <t>klow</t>
  </si>
  <si>
    <t>Low, Karen</t>
  </si>
  <si>
    <t>RRCT7284</t>
  </si>
  <si>
    <t>jdowns</t>
  </si>
  <si>
    <t>Downs, James</t>
  </si>
  <si>
    <t>maespar</t>
  </si>
  <si>
    <t>Esparza, Marybel</t>
  </si>
  <si>
    <t>ZEX7101</t>
  </si>
  <si>
    <t>cakune</t>
  </si>
  <si>
    <t>Akune, Candy</t>
  </si>
  <si>
    <t>FRSL9186</t>
  </si>
  <si>
    <t>stschwe</t>
  </si>
  <si>
    <t>Schweigert, Steve</t>
  </si>
  <si>
    <t>FRCG0004</t>
  </si>
  <si>
    <t>ficage4</t>
  </si>
  <si>
    <t>Cage 4, Fiesta</t>
  </si>
  <si>
    <t>GVFB7070</t>
  </si>
  <si>
    <t>rmigna</t>
  </si>
  <si>
    <t>Mignard, Robert</t>
  </si>
  <si>
    <t>SSEX0004</t>
  </si>
  <si>
    <t>RSZEPE</t>
  </si>
  <si>
    <t>Szepelak, Roger</t>
  </si>
  <si>
    <t>gmeado</t>
  </si>
  <si>
    <t>SSAC0009</t>
  </si>
  <si>
    <t>mcano</t>
  </si>
  <si>
    <t>Cano, Maria</t>
  </si>
  <si>
    <t>ZIT6186</t>
  </si>
  <si>
    <t>brharri</t>
  </si>
  <si>
    <t>Harris, Brenda</t>
  </si>
  <si>
    <t>RRCG0004</t>
  </si>
  <si>
    <t>rrcage04</t>
  </si>
  <si>
    <t>RRCAGE04</t>
  </si>
  <si>
    <t>RRMK7612</t>
  </si>
  <si>
    <t>aclark</t>
  </si>
  <si>
    <t>Clark, Alma</t>
  </si>
  <si>
    <t>GVFB7381</t>
  </si>
  <si>
    <t>Jbray</t>
  </si>
  <si>
    <t>Bray, John</t>
  </si>
  <si>
    <t>szirkl</t>
  </si>
  <si>
    <t>Zirkle, Sean</t>
  </si>
  <si>
    <t>GVCT1831</t>
  </si>
  <si>
    <t>FHCG0001</t>
  </si>
  <si>
    <t>fhcage1</t>
  </si>
  <si>
    <t>Fiesta H, Cage1</t>
  </si>
  <si>
    <t>ZEX0350</t>
  </si>
  <si>
    <t>Sullivan, Scott</t>
  </si>
  <si>
    <t>PSSE1400</t>
  </si>
  <si>
    <t>mbolan</t>
  </si>
  <si>
    <t>Bolander, Mike</t>
  </si>
  <si>
    <t>GVST6463</t>
  </si>
  <si>
    <t>nphelp</t>
  </si>
  <si>
    <t>Phelps, Neil</t>
  </si>
  <si>
    <t>TSCG0001</t>
  </si>
  <si>
    <t>tscage1</t>
  </si>
  <si>
    <t>TScage1</t>
  </si>
  <si>
    <t>ZEX0440</t>
  </si>
  <si>
    <t>lhanso</t>
  </si>
  <si>
    <t>Hanson, Lorine</t>
  </si>
  <si>
    <t>FRSL9183</t>
  </si>
  <si>
    <t>FRIVS001</t>
  </si>
  <si>
    <t>FREG1298</t>
  </si>
  <si>
    <t>pemley</t>
  </si>
  <si>
    <t>Emley, Phil</t>
  </si>
  <si>
    <t>ZIA5758</t>
  </si>
  <si>
    <t>wardp</t>
  </si>
  <si>
    <t>Ward, Petra</t>
  </si>
  <si>
    <t>RRAC7528</t>
  </si>
  <si>
    <t>czoell</t>
  </si>
  <si>
    <t>Zoellner, Cynthia</t>
  </si>
  <si>
    <t>ZEX0270</t>
  </si>
  <si>
    <t>vrutte</t>
  </si>
  <si>
    <t>Rutter, Valerie</t>
  </si>
  <si>
    <t>SSAC0012</t>
  </si>
  <si>
    <t>swench</t>
  </si>
  <si>
    <t>Wuensch, Simone</t>
  </si>
  <si>
    <t>SSAC0062</t>
  </si>
  <si>
    <t>rpotte</t>
  </si>
  <si>
    <t>Potter, Raymond</t>
  </si>
  <si>
    <t>10.70.80.175</t>
  </si>
  <si>
    <t>SSSC2430</t>
  </si>
  <si>
    <t>BSKN6845</t>
  </si>
  <si>
    <t>Aartis</t>
  </si>
  <si>
    <t>Miller, Angela</t>
  </si>
  <si>
    <t>elcalde</t>
  </si>
  <si>
    <t>Calderon, Elayne</t>
  </si>
  <si>
    <t>SSAC8571</t>
  </si>
  <si>
    <t>10.70.85.231</t>
  </si>
  <si>
    <t>GVFB7439</t>
  </si>
  <si>
    <t>roalcan</t>
  </si>
  <si>
    <t>Alcantara, Rod</t>
  </si>
  <si>
    <t>WFAC1435</t>
  </si>
  <si>
    <t>JeWilli</t>
  </si>
  <si>
    <t>Williams, Jeni</t>
  </si>
  <si>
    <t>SSIC0003</t>
  </si>
  <si>
    <t xml:space="preserve">10.70.85.152  </t>
  </si>
  <si>
    <t>SSPTRIC01</t>
  </si>
  <si>
    <t>dserva</t>
  </si>
  <si>
    <t>Servantes, Dennis</t>
  </si>
  <si>
    <t>TSHR1327</t>
  </si>
  <si>
    <t>Apaloz</t>
  </si>
  <si>
    <t>Palozzi, Alan</t>
  </si>
  <si>
    <t>SSWH0002</t>
  </si>
  <si>
    <t>epelle</t>
  </si>
  <si>
    <t>Pelletier, Everett 'Red'</t>
  </si>
  <si>
    <t>10.70.85.152</t>
  </si>
  <si>
    <t>SSSL0005</t>
  </si>
  <si>
    <t>10.70.85.173</t>
  </si>
  <si>
    <t>SSSA3555</t>
  </si>
  <si>
    <t>ShYoung</t>
  </si>
  <si>
    <t>Young, Shirley</t>
  </si>
  <si>
    <t>LauDavis</t>
  </si>
  <si>
    <t>Davis, Lauren</t>
  </si>
  <si>
    <t>SSSL0009</t>
  </si>
  <si>
    <t>lbarbo</t>
  </si>
  <si>
    <t>SSET0002</t>
  </si>
  <si>
    <t>Kscrog</t>
  </si>
  <si>
    <t>Scroggins, Kevin</t>
  </si>
  <si>
    <t>SSET2555</t>
  </si>
  <si>
    <t>10.70.85.192</t>
  </si>
  <si>
    <t>FHSC0001</t>
  </si>
  <si>
    <t>Vbakke</t>
  </si>
  <si>
    <t>Bakke, Vincent</t>
  </si>
  <si>
    <t>SSHR0001</t>
  </si>
  <si>
    <t>vleppe</t>
  </si>
  <si>
    <t>Lepper, Virginia</t>
  </si>
  <si>
    <t>SSHR4555</t>
  </si>
  <si>
    <t>10.70.85.145</t>
  </si>
  <si>
    <t>BSST0013</t>
  </si>
  <si>
    <t>ZEX8717</t>
  </si>
  <si>
    <t>Jhilsa</t>
  </si>
  <si>
    <t>Hilsabeck, Jeremy</t>
  </si>
  <si>
    <t>PSCT8723</t>
  </si>
  <si>
    <t>taguil</t>
  </si>
  <si>
    <t>Aguila, Richard</t>
  </si>
  <si>
    <t>SSKN0001</t>
  </si>
  <si>
    <t>pheige</t>
  </si>
  <si>
    <t>Heigel, Paula</t>
  </si>
  <si>
    <t>smanle</t>
  </si>
  <si>
    <t>Manley, Steve</t>
  </si>
  <si>
    <t>ZEX0418</t>
  </si>
  <si>
    <t>TSMK8871</t>
  </si>
  <si>
    <t>lrose</t>
  </si>
  <si>
    <t>Rose, Lisa</t>
  </si>
  <si>
    <t>ZIT0030</t>
  </si>
  <si>
    <t>chrjon</t>
  </si>
  <si>
    <t>Jones, Chris</t>
  </si>
  <si>
    <t>SSPB0011</t>
  </si>
  <si>
    <t>ktiede</t>
  </si>
  <si>
    <t>Tiedemann, Karen</t>
  </si>
  <si>
    <t>TSMK2453</t>
  </si>
  <si>
    <t>cferra</t>
  </si>
  <si>
    <t>Ferrante, Christopher</t>
  </si>
  <si>
    <t>FHFB0007</t>
  </si>
  <si>
    <t>Fegonza</t>
  </si>
  <si>
    <t>Gonzalez, Felix</t>
  </si>
  <si>
    <t>GVST0282A</t>
  </si>
  <si>
    <t>GVCO2000</t>
  </si>
  <si>
    <t>kalopez</t>
  </si>
  <si>
    <t>Lopez, Kathryn (Kelly)</t>
  </si>
  <si>
    <t>SSPT0010</t>
  </si>
  <si>
    <t>dobrie</t>
  </si>
  <si>
    <t>OBrien, Daniel</t>
  </si>
  <si>
    <t>mtrocc</t>
  </si>
  <si>
    <t>Troccoli, Mildred</t>
  </si>
  <si>
    <t>GVSL7442</t>
  </si>
  <si>
    <t>Jphili</t>
  </si>
  <si>
    <t>Philippi, Judy</t>
  </si>
  <si>
    <t>ZEX0354</t>
  </si>
  <si>
    <t>SSRS0001</t>
  </si>
  <si>
    <t>Chende</t>
  </si>
  <si>
    <t>Henderson, Clint</t>
  </si>
  <si>
    <t>SSHR0008</t>
  </si>
  <si>
    <t>tohare</t>
  </si>
  <si>
    <t>O'Hare, Tracy</t>
  </si>
  <si>
    <t>RRAC6462</t>
  </si>
  <si>
    <t>bthomp</t>
  </si>
  <si>
    <t>Thompson-Cirrone, Bethany</t>
  </si>
  <si>
    <t>GREX0006</t>
  </si>
  <si>
    <t>Smoste</t>
  </si>
  <si>
    <t>Mostella, Stephen</t>
  </si>
  <si>
    <t>RRSL7644</t>
  </si>
  <si>
    <t>jclass</t>
  </si>
  <si>
    <t>Class, John</t>
  </si>
  <si>
    <t>RRMK9065</t>
  </si>
  <si>
    <t>10.245.38.189</t>
  </si>
  <si>
    <t>SSCH0006</t>
  </si>
  <si>
    <t>Lstewa</t>
  </si>
  <si>
    <t>Stewart, Lynn</t>
  </si>
  <si>
    <t>SSIC0002</t>
  </si>
  <si>
    <t>GVEN7460</t>
  </si>
  <si>
    <t>dhocke</t>
  </si>
  <si>
    <t>Hockensmith, Dave</t>
  </si>
  <si>
    <t>mmorgan</t>
  </si>
  <si>
    <t>SSCT0002</t>
  </si>
  <si>
    <t>SSCT257</t>
  </si>
  <si>
    <t>10.70.85.197</t>
  </si>
  <si>
    <t>SSAC0072</t>
  </si>
  <si>
    <t>RRAC7510</t>
  </si>
  <si>
    <t>tnakas</t>
  </si>
  <si>
    <t>Nakasone, Tina</t>
  </si>
  <si>
    <t>RRAC0555</t>
  </si>
  <si>
    <t>10.40.110.3</t>
  </si>
  <si>
    <t>RRAC7585</t>
  </si>
  <si>
    <t>mboyce</t>
  </si>
  <si>
    <t>Boyce, Mathew (Kenneth)</t>
  </si>
  <si>
    <t>ZCC1393</t>
  </si>
  <si>
    <t>apaloz</t>
  </si>
  <si>
    <t>WWCG0001</t>
  </si>
  <si>
    <t>jarobin</t>
  </si>
  <si>
    <t>Robinson, Jasmin</t>
  </si>
  <si>
    <t>SSAC232</t>
  </si>
  <si>
    <t>Kstewa</t>
  </si>
  <si>
    <t>WFAC1433</t>
  </si>
  <si>
    <t>ZEX1263</t>
  </si>
  <si>
    <t>mwilli</t>
  </si>
  <si>
    <t>Williamson, Mandy</t>
  </si>
  <si>
    <t>SSAC0045</t>
  </si>
  <si>
    <t>RREZ6427</t>
  </si>
  <si>
    <t>ZAC0298</t>
  </si>
  <si>
    <t>Ekingh</t>
  </si>
  <si>
    <t>RRFB7681</t>
  </si>
  <si>
    <t>gyang</t>
  </si>
  <si>
    <t>Yang, Guojin</t>
  </si>
  <si>
    <t>ZEX0264</t>
  </si>
  <si>
    <t>cburns</t>
  </si>
  <si>
    <t>Burns, Crystal</t>
  </si>
  <si>
    <t>SSFD6570</t>
  </si>
  <si>
    <t>dramir</t>
  </si>
  <si>
    <t>Ramirez, Denise</t>
  </si>
  <si>
    <t>jconwa</t>
  </si>
  <si>
    <t>Conway, John</t>
  </si>
  <si>
    <t>kchaff</t>
  </si>
  <si>
    <t>Chaffee, Kenneth</t>
  </si>
  <si>
    <t>eestra</t>
  </si>
  <si>
    <t>Estrada, Erandy</t>
  </si>
  <si>
    <t>PSAC1414</t>
  </si>
  <si>
    <t>jeason</t>
  </si>
  <si>
    <t>Eason, Jackie</t>
  </si>
  <si>
    <t>SSCG0004</t>
  </si>
  <si>
    <t>FREX8742</t>
  </si>
  <si>
    <t>ysaenz</t>
  </si>
  <si>
    <t>Saenz, Yolanda</t>
  </si>
  <si>
    <t>psrstim010</t>
  </si>
  <si>
    <t>PSRSTIM010</t>
  </si>
  <si>
    <t>ZRC7146</t>
  </si>
  <si>
    <t>ecance</t>
  </si>
  <si>
    <t>Canceran, Eduardo</t>
  </si>
  <si>
    <t>WWHT1708</t>
  </si>
  <si>
    <t>ccoppi</t>
  </si>
  <si>
    <t>Coppinger, Cynthia</t>
  </si>
  <si>
    <t>SSAC0029</t>
  </si>
  <si>
    <t>ddesla</t>
  </si>
  <si>
    <t>Deslauriers, Diane</t>
  </si>
  <si>
    <t>chtom</t>
  </si>
  <si>
    <t>Tom, Christopher</t>
  </si>
  <si>
    <t>PSEX8710</t>
  </si>
  <si>
    <t>JGUREC</t>
  </si>
  <si>
    <t>Gurecki, Jeff</t>
  </si>
  <si>
    <t>PSCT9109</t>
  </si>
  <si>
    <t>mgoldb</t>
  </si>
  <si>
    <t>Goldberg, Michael</t>
  </si>
  <si>
    <t>ZEX7118</t>
  </si>
  <si>
    <t>bjensc</t>
  </si>
  <si>
    <t>Jensch, Bob</t>
  </si>
  <si>
    <t>Cgrube</t>
  </si>
  <si>
    <t>Gruber, Cynthia</t>
  </si>
  <si>
    <t>PSEX8729</t>
  </si>
  <si>
    <t>TSFB9132</t>
  </si>
  <si>
    <t>cdittm</t>
  </si>
  <si>
    <t>Dittmaier, Carl</t>
  </si>
  <si>
    <t>BSPK0007</t>
  </si>
  <si>
    <t>Sdeuel</t>
  </si>
  <si>
    <t>Deuel, Steve</t>
  </si>
  <si>
    <t>jiwamo</t>
  </si>
  <si>
    <t>Iwamoto, Janice</t>
  </si>
  <si>
    <t>BSFD0003</t>
  </si>
  <si>
    <t>Adavid</t>
  </si>
  <si>
    <t>David, Aurora</t>
  </si>
  <si>
    <t>PCIBSFD</t>
  </si>
  <si>
    <t>SSPT0007</t>
  </si>
  <si>
    <t>lmcdon</t>
  </si>
  <si>
    <t>McDonough, Lori</t>
  </si>
  <si>
    <t>FHPR0011</t>
  </si>
  <si>
    <t>Cfitzg</t>
  </si>
  <si>
    <t>Fitzgerald, Cynthia</t>
  </si>
  <si>
    <t>GVHT7064</t>
  </si>
  <si>
    <t>jwalla</t>
  </si>
  <si>
    <t>Wallace, James Patrick</t>
  </si>
  <si>
    <t>craffe</t>
  </si>
  <si>
    <t>Rafferty, Cheryl</t>
  </si>
  <si>
    <t>SSAC0041</t>
  </si>
  <si>
    <t>SFBG6733</t>
  </si>
  <si>
    <t>cfoste</t>
  </si>
  <si>
    <t>Foster, Crystal</t>
  </si>
  <si>
    <t>GVFB7322</t>
  </si>
  <si>
    <t>apadil</t>
  </si>
  <si>
    <t>Padillo, Ann</t>
  </si>
  <si>
    <t>GVHK7306</t>
  </si>
  <si>
    <t>esmarti</t>
  </si>
  <si>
    <t>Martin, Estelita</t>
  </si>
  <si>
    <t>WFEX8754</t>
  </si>
  <si>
    <t>jcanno</t>
  </si>
  <si>
    <t>Cannon, John</t>
  </si>
  <si>
    <t>FRSL8743</t>
  </si>
  <si>
    <t>ranzev</t>
  </si>
  <si>
    <t>Anzevino, Raymond</t>
  </si>
  <si>
    <t>PSFB8890</t>
  </si>
  <si>
    <t>Sverga</t>
  </si>
  <si>
    <t>Vergara, Steve</t>
  </si>
  <si>
    <t>GVIV7069</t>
  </si>
  <si>
    <t>sblanc</t>
  </si>
  <si>
    <t>Blanchard, Steven</t>
  </si>
  <si>
    <t>SSST0007</t>
  </si>
  <si>
    <t>uresen</t>
  </si>
  <si>
    <t>Resendiz, Ulises</t>
  </si>
  <si>
    <t>ZEX6247</t>
  </si>
  <si>
    <t>lturne</t>
  </si>
  <si>
    <t>Turner, LaReese</t>
  </si>
  <si>
    <t>ZEX0417</t>
  </si>
  <si>
    <t>fohene</t>
  </si>
  <si>
    <t>Ohene, Frederick</t>
  </si>
  <si>
    <t>ZEX0217</t>
  </si>
  <si>
    <t>BSEX3900</t>
  </si>
  <si>
    <t>Jmirko</t>
  </si>
  <si>
    <t>Mirkovic, Johan</t>
  </si>
  <si>
    <t>scolem</t>
  </si>
  <si>
    <t>Coleman, Shirin</t>
  </si>
  <si>
    <t>ZIT0671</t>
  </si>
  <si>
    <t>wbumpu</t>
  </si>
  <si>
    <t>Bumpus, Eddie</t>
  </si>
  <si>
    <t>BSEX0001</t>
  </si>
  <si>
    <t>RRFB7031</t>
  </si>
  <si>
    <t>milee</t>
  </si>
  <si>
    <t>Lee, Michelle</t>
  </si>
  <si>
    <t>SSAC0052</t>
  </si>
  <si>
    <t>cmiran</t>
  </si>
  <si>
    <t>Miranda, Cristina</t>
  </si>
  <si>
    <t>BSFB0004</t>
  </si>
  <si>
    <t>screen res</t>
  </si>
  <si>
    <t>PSSC6882</t>
  </si>
  <si>
    <t>sbandi</t>
  </si>
  <si>
    <t>Bandit, Sanya</t>
  </si>
  <si>
    <t>GVHR7388</t>
  </si>
  <si>
    <t>Slee</t>
  </si>
  <si>
    <t>Lee, Shelia</t>
  </si>
  <si>
    <t>rferre</t>
  </si>
  <si>
    <t>chcruz</t>
  </si>
  <si>
    <t>Cruz, Christina</t>
  </si>
  <si>
    <t>ZEX0328</t>
  </si>
  <si>
    <t>SSBW0004</t>
  </si>
  <si>
    <t>Jfranc</t>
  </si>
  <si>
    <t>Francomano, Joy</t>
  </si>
  <si>
    <t>jyoung</t>
  </si>
  <si>
    <t>Younger, Jacqueline</t>
  </si>
  <si>
    <t>wfpromo</t>
  </si>
  <si>
    <t>Wildfire - Promotions</t>
  </si>
  <si>
    <t>BSCG0013</t>
  </si>
  <si>
    <t>kashwo</t>
  </si>
  <si>
    <t>Ashworth, Ken</t>
  </si>
  <si>
    <t>bdonal</t>
  </si>
  <si>
    <t>Donaldson, Bethany</t>
  </si>
  <si>
    <t>SSHR0011</t>
  </si>
  <si>
    <t>Rmoore</t>
  </si>
  <si>
    <t>Moore, Regina</t>
  </si>
  <si>
    <t>tscage2</t>
  </si>
  <si>
    <t>TScage2</t>
  </si>
  <si>
    <t>TSCG0005</t>
  </si>
  <si>
    <t>TSCG0002</t>
  </si>
  <si>
    <t>tscage5</t>
  </si>
  <si>
    <t>TScage5</t>
  </si>
  <si>
    <t>SFGS8914</t>
  </si>
  <si>
    <t>lforno</t>
  </si>
  <si>
    <t>mcrew</t>
  </si>
  <si>
    <t>Crew, Meagan</t>
  </si>
  <si>
    <t>RRST6421</t>
  </si>
  <si>
    <t>rrcummins</t>
  </si>
  <si>
    <t>RRCummins</t>
  </si>
  <si>
    <t>ihargi</t>
  </si>
  <si>
    <t>Hargis, Isela</t>
  </si>
  <si>
    <t>jolee</t>
  </si>
  <si>
    <t>Lee, JoMikel</t>
  </si>
  <si>
    <t>jstone</t>
  </si>
  <si>
    <t>Stone, Jeffery</t>
  </si>
  <si>
    <t>ZAC6257</t>
  </si>
  <si>
    <t>GVCT7430</t>
  </si>
  <si>
    <t>jmanga</t>
  </si>
  <si>
    <t>Mangahas, Jennifer</t>
  </si>
  <si>
    <t>PSIC7010</t>
  </si>
  <si>
    <t>sforem</t>
  </si>
  <si>
    <t>Foreman, Stacey</t>
  </si>
  <si>
    <t>ZIT7575</t>
  </si>
  <si>
    <t>gramak</t>
  </si>
  <si>
    <t>Ramakrishnan, Gopal</t>
  </si>
  <si>
    <t>RRAC2048</t>
  </si>
  <si>
    <t>SDEMAI</t>
  </si>
  <si>
    <t>Demaio, Sarah</t>
  </si>
  <si>
    <t>ZEX0469</t>
  </si>
  <si>
    <t>tjakst</t>
  </si>
  <si>
    <t>Jakstas, Tomas</t>
  </si>
  <si>
    <t>FHCG0008</t>
  </si>
  <si>
    <t>rwellm</t>
  </si>
  <si>
    <t>Wellman, Ronda</t>
  </si>
  <si>
    <t>Tcamer</t>
  </si>
  <si>
    <t>Cameron, Tim</t>
  </si>
  <si>
    <t>ZEX6165</t>
  </si>
  <si>
    <t>RRSA3786</t>
  </si>
  <si>
    <t>vkistn</t>
  </si>
  <si>
    <t>Kistner, Veronica</t>
  </si>
  <si>
    <t>RRFB7244</t>
  </si>
  <si>
    <t>jperri</t>
  </si>
  <si>
    <t>Perrigo, Julian</t>
  </si>
  <si>
    <t>SFIA8808</t>
  </si>
  <si>
    <t>[$(r7v$T9N8%)H3</t>
  </si>
  <si>
    <t>RRHK8211</t>
  </si>
  <si>
    <t>apowel</t>
  </si>
  <si>
    <t>Powell, Alicia</t>
  </si>
  <si>
    <t>mbranc</t>
  </si>
  <si>
    <t>Branco, Melissa</t>
  </si>
  <si>
    <t>PSFB6959</t>
  </si>
  <si>
    <t>SFCG0004</t>
  </si>
  <si>
    <t>GVEN2018</t>
  </si>
  <si>
    <t>phsingh</t>
  </si>
  <si>
    <t>Singharath, Phil</t>
  </si>
  <si>
    <t>GVPD7328</t>
  </si>
  <si>
    <t>Mgaspa</t>
  </si>
  <si>
    <t>Gaspard, Morgan</t>
  </si>
  <si>
    <t>\\STNFS1EV\profiles\mgaspa</t>
  </si>
  <si>
    <t>ZAC0314</t>
  </si>
  <si>
    <t>mthord</t>
  </si>
  <si>
    <t>Thordson, Mari</t>
  </si>
  <si>
    <t>ZEX0346</t>
  </si>
  <si>
    <t>ktempl</t>
  </si>
  <si>
    <t>Temple, Kristina</t>
  </si>
  <si>
    <t>spears</t>
  </si>
  <si>
    <t>Headley, Sharon</t>
  </si>
  <si>
    <t>BSMK0009</t>
  </si>
  <si>
    <t>Mzeque</t>
  </si>
  <si>
    <t>Zequeida, Mayra</t>
  </si>
  <si>
    <t>dbrabh</t>
  </si>
  <si>
    <t>Brabham, Devon</t>
  </si>
  <si>
    <t>RRST7288</t>
  </si>
  <si>
    <t>farago</t>
  </si>
  <si>
    <t>Aragonez, Francisco</t>
  </si>
  <si>
    <t>GVEN1983</t>
  </si>
  <si>
    <t>rabiva</t>
  </si>
  <si>
    <t>Abiva, Romeo</t>
  </si>
  <si>
    <t>sfcage4</t>
  </si>
  <si>
    <t>Santa Fe Cage 4</t>
  </si>
  <si>
    <t>WFAC1437</t>
  </si>
  <si>
    <t>dalmar</t>
  </si>
  <si>
    <t>Almario, Diana</t>
  </si>
  <si>
    <t>WFAC4723</t>
  </si>
  <si>
    <t>svanho</t>
  </si>
  <si>
    <t>Van Hook, Somsuan (Sue)</t>
  </si>
  <si>
    <t>SSAC0069</t>
  </si>
  <si>
    <t>kcase</t>
  </si>
  <si>
    <t>Case, Koni</t>
  </si>
  <si>
    <t>SSAC8572</t>
  </si>
  <si>
    <t>ss rr fh gv</t>
  </si>
  <si>
    <t>TSCG9142</t>
  </si>
  <si>
    <t>tscagecr2</t>
  </si>
  <si>
    <t>TScageCR2</t>
  </si>
  <si>
    <t>SSSO0005</t>
  </si>
  <si>
    <t>ZEX0232</t>
  </si>
  <si>
    <t>lweste</t>
  </si>
  <si>
    <t>Westerfield, Lauren</t>
  </si>
  <si>
    <t>WWSO1745</t>
  </si>
  <si>
    <t>jIG&amp;8z60-[GR@8g</t>
  </si>
  <si>
    <t>SFEX4493</t>
  </si>
  <si>
    <t>10.20.50.8</t>
  </si>
  <si>
    <t>SSCG0014</t>
  </si>
  <si>
    <t>scaste</t>
  </si>
  <si>
    <t>Castellano, Susan</t>
  </si>
  <si>
    <t>SSAC557</t>
  </si>
  <si>
    <t>PSSL6934</t>
  </si>
  <si>
    <t>Bdeleo</t>
  </si>
  <si>
    <t>De Leon, Bernie</t>
  </si>
  <si>
    <t>PSHK1531</t>
  </si>
  <si>
    <t>dcarra</t>
  </si>
  <si>
    <t>Carrasco, Desiree</t>
  </si>
  <si>
    <t>dquiro</t>
  </si>
  <si>
    <t>Quiroz, Denise</t>
  </si>
  <si>
    <t>GVBN7062</t>
  </si>
  <si>
    <t>awolbe</t>
  </si>
  <si>
    <t>Wolbert, Andrew</t>
  </si>
  <si>
    <t>SSAC0005</t>
  </si>
  <si>
    <t>btamit</t>
  </si>
  <si>
    <t>Tamita, Bevelyn</t>
  </si>
  <si>
    <t>RRAC7529</t>
  </si>
  <si>
    <t>Wlockh</t>
  </si>
  <si>
    <t>Lockhart, Wendy</t>
  </si>
  <si>
    <t>TSSL6987</t>
  </si>
  <si>
    <t>avilan</t>
  </si>
  <si>
    <t>Villania, Anthony</t>
  </si>
  <si>
    <t>TSSL4897</t>
  </si>
  <si>
    <t>tsivs001</t>
  </si>
  <si>
    <t>TSIVS001</t>
  </si>
  <si>
    <t>GVFB7438</t>
  </si>
  <si>
    <t>L+9h80TTv;OU3(R</t>
  </si>
  <si>
    <t>dperei</t>
  </si>
  <si>
    <t>Pereira, Donny</t>
  </si>
  <si>
    <t>Cgilder</t>
  </si>
  <si>
    <t>Gildersleeve, Connie</t>
  </si>
  <si>
    <t>PSSL1335</t>
  </si>
  <si>
    <t>ZIA6886</t>
  </si>
  <si>
    <t>nparis</t>
  </si>
  <si>
    <t>Parises, Nicholas</t>
  </si>
  <si>
    <t>vtgarc</t>
  </si>
  <si>
    <t>Garcia, Vidal (Tony)</t>
  </si>
  <si>
    <t>FRCG9156</t>
  </si>
  <si>
    <t>cpayne</t>
  </si>
  <si>
    <t>Payne, Charles</t>
  </si>
  <si>
    <t>TSFD0001</t>
  </si>
  <si>
    <t>ngeorg</t>
  </si>
  <si>
    <t>George, Neisha</t>
  </si>
  <si>
    <t>dsharp</t>
  </si>
  <si>
    <t>Sharp, David</t>
  </si>
  <si>
    <t>GVSV7434</t>
  </si>
  <si>
    <t>kwinto</t>
  </si>
  <si>
    <t>Winton, Ken</t>
  </si>
  <si>
    <t>RNEX5001</t>
  </si>
  <si>
    <t>kwitow</t>
  </si>
  <si>
    <t>Witowski, Karl</t>
  </si>
  <si>
    <t>CODONAH</t>
  </si>
  <si>
    <t>Donahue, Corey</t>
  </si>
  <si>
    <t>WWEX2035</t>
  </si>
  <si>
    <t>mcarri</t>
  </si>
  <si>
    <t>Carrillo, Mario</t>
  </si>
  <si>
    <t>ieN72ZEq5)xFjA{</t>
  </si>
  <si>
    <t>sfretailpro</t>
  </si>
  <si>
    <t>SantaFe - RetailPro</t>
  </si>
  <si>
    <t>ZEX0391</t>
  </si>
  <si>
    <t>ZEX0289</t>
  </si>
  <si>
    <t>BSEX0004</t>
  </si>
  <si>
    <t>Llagoe</t>
  </si>
  <si>
    <t>Lagoe, Leonard</t>
  </si>
  <si>
    <t>RRSO8231</t>
  </si>
  <si>
    <t>Mpaige</t>
  </si>
  <si>
    <t>Paige, Mark</t>
  </si>
  <si>
    <t>cbubb</t>
  </si>
  <si>
    <t>Bubb, Courtney</t>
  </si>
  <si>
    <t>ZIA6881</t>
  </si>
  <si>
    <t>[Dr3#Y8kO5PM1k5</t>
  </si>
  <si>
    <t>mvilay</t>
  </si>
  <si>
    <t>Vilayvanh, Mary</t>
  </si>
  <si>
    <t>SFSV2660</t>
  </si>
  <si>
    <t>emalua</t>
  </si>
  <si>
    <t>Maluafiti, Etuale</t>
  </si>
  <si>
    <t>brlinds</t>
  </si>
  <si>
    <t>Lindsey, Brienna</t>
  </si>
  <si>
    <t>ZCC1385</t>
  </si>
  <si>
    <t>clberna</t>
  </si>
  <si>
    <t>Bernabe, Clara</t>
  </si>
  <si>
    <t>GVPK1829</t>
  </si>
  <si>
    <t>acohen</t>
  </si>
  <si>
    <t>Cohen, Alan</t>
  </si>
  <si>
    <t>TSFB8897</t>
  </si>
  <si>
    <t>BG4{0+77t1@Vx&amp;[</t>
  </si>
  <si>
    <t>jmuldr</t>
  </si>
  <si>
    <t>Muldrow, James</t>
  </si>
  <si>
    <t>FHRS0005</t>
  </si>
  <si>
    <t>svega</t>
  </si>
  <si>
    <t>Vega, Shannon</t>
  </si>
  <si>
    <t>RRCN8227</t>
  </si>
  <si>
    <t>7{#wx}]71p},k}H</t>
  </si>
  <si>
    <t>ZEX0673</t>
  </si>
  <si>
    <t>ZMK5560Q</t>
  </si>
  <si>
    <t>DSpath</t>
  </si>
  <si>
    <t>SSSO0001</t>
  </si>
  <si>
    <t>mschwe</t>
  </si>
  <si>
    <t>Schwedrsky, Martin</t>
  </si>
  <si>
    <t>PSFB8867</t>
  </si>
  <si>
    <t>acobou</t>
  </si>
  <si>
    <t>Cobourn, Amber</t>
  </si>
  <si>
    <t>PSHR8736</t>
  </si>
  <si>
    <t>dtaylo</t>
  </si>
  <si>
    <t>Taylor, DeJuan</t>
  </si>
  <si>
    <t>Lhardi</t>
  </si>
  <si>
    <t>cmasha</t>
  </si>
  <si>
    <t>Mashack, Christian</t>
  </si>
  <si>
    <t>ZRC3475</t>
  </si>
  <si>
    <t>jpasqu</t>
  </si>
  <si>
    <t>Pasqualotto, John</t>
  </si>
  <si>
    <t>BSSV0004</t>
  </si>
  <si>
    <t>pmyatt</t>
  </si>
  <si>
    <t>Myatt, Paul</t>
  </si>
  <si>
    <t>jcarpe</t>
  </si>
  <si>
    <t>Carpenter, Jessica</t>
  </si>
  <si>
    <t>tausti</t>
  </si>
  <si>
    <t>Austin, Troy</t>
  </si>
  <si>
    <t>BSFB0003</t>
  </si>
  <si>
    <t>mconne</t>
  </si>
  <si>
    <t>Conner, Marisa</t>
  </si>
  <si>
    <t>ZDC0015</t>
  </si>
  <si>
    <t>tpiers</t>
  </si>
  <si>
    <t>Pierson, Toshiana</t>
  </si>
  <si>
    <t>kbrand</t>
  </si>
  <si>
    <t>Brandt, Kenneth</t>
  </si>
  <si>
    <t>]99KbpoSRL!#9ur</t>
  </si>
  <si>
    <t>Wardp</t>
  </si>
  <si>
    <t>sf bs fr</t>
  </si>
  <si>
    <t>ZEX6259</t>
  </si>
  <si>
    <t>cchris</t>
  </si>
  <si>
    <t>Christensen, Corinna</t>
  </si>
  <si>
    <t>BSFB0015</t>
  </si>
  <si>
    <t>tmcnal</t>
  </si>
  <si>
    <t>McNally, Thomas</t>
  </si>
  <si>
    <t>Dgilde</t>
  </si>
  <si>
    <t>WWEX2034</t>
  </si>
  <si>
    <t>ZVA1DSHARP</t>
  </si>
  <si>
    <t>WWST7044</t>
  </si>
  <si>
    <t>wwivs001</t>
  </si>
  <si>
    <t>WWIVS001</t>
  </si>
  <si>
    <t>David, Jeaneah</t>
  </si>
  <si>
    <t>ZEX0211</t>
  </si>
  <si>
    <t>jeffro</t>
  </si>
  <si>
    <t>Effros, Justin</t>
  </si>
  <si>
    <t>SFBG6526</t>
  </si>
  <si>
    <t>ZVA1CFOSTE</t>
  </si>
  <si>
    <t>7ux0OfD(h+8m..Z</t>
  </si>
  <si>
    <t>Cfoste</t>
  </si>
  <si>
    <t>wabrown</t>
  </si>
  <si>
    <t>Brown, Wayne</t>
  </si>
  <si>
    <t>SFSK0020</t>
  </si>
  <si>
    <t>Jtice</t>
  </si>
  <si>
    <t>Hegyi, Jamie</t>
  </si>
  <si>
    <t>3973355</t>
  </si>
  <si>
    <t>catcruz</t>
  </si>
  <si>
    <t>Cruz, Catherine</t>
  </si>
  <si>
    <t>id missing</t>
  </si>
  <si>
    <t>RRAC7509</t>
  </si>
  <si>
    <t>xzhao</t>
  </si>
  <si>
    <t>Zhao, Xinlei</t>
  </si>
  <si>
    <t>emarna</t>
  </si>
  <si>
    <t>RRCN8208</t>
  </si>
  <si>
    <t>cylopez</t>
  </si>
  <si>
    <t>Lopez, Cynthia</t>
  </si>
  <si>
    <t>FRIC6635</t>
  </si>
  <si>
    <t>FRSL1504</t>
  </si>
  <si>
    <t>mkyle</t>
  </si>
  <si>
    <t>Kyle, Mana</t>
  </si>
  <si>
    <t>10.241.41.201</t>
  </si>
  <si>
    <t>MaWagn</t>
  </si>
  <si>
    <t>Wagner, Marc</t>
  </si>
  <si>
    <t>SSSV0002</t>
  </si>
  <si>
    <t>PSGS8725</t>
  </si>
  <si>
    <t>gmacat</t>
  </si>
  <si>
    <t>TSSL6566</t>
  </si>
  <si>
    <t>RRST7631</t>
  </si>
  <si>
    <t>dfreid</t>
  </si>
  <si>
    <t>Freid, Daniel</t>
  </si>
  <si>
    <t>RHilke1</t>
  </si>
  <si>
    <t>Hilke, Robert</t>
  </si>
  <si>
    <t>GVSL1773</t>
  </si>
  <si>
    <t>dcruz</t>
  </si>
  <si>
    <t>Cruz, Dante</t>
  </si>
  <si>
    <t>SFEX8788</t>
  </si>
  <si>
    <t>Dheslo</t>
  </si>
  <si>
    <t>Heslop, Debby</t>
  </si>
  <si>
    <t>WFAC4724</t>
  </si>
  <si>
    <t>lespej</t>
  </si>
  <si>
    <t>Espejel, Lourdes</t>
  </si>
  <si>
    <t>GVBQ7068</t>
  </si>
  <si>
    <t>Kalten</t>
  </si>
  <si>
    <t>Altensee, Kenny</t>
  </si>
  <si>
    <t>ZEX0262</t>
  </si>
  <si>
    <t>tsouku</t>
  </si>
  <si>
    <t>Soukup, Tamara</t>
  </si>
  <si>
    <t>FRIC2581</t>
  </si>
  <si>
    <t>Solut10n2016</t>
  </si>
  <si>
    <t>FHIC0001</t>
  </si>
  <si>
    <t>RRHT1881</t>
  </si>
  <si>
    <t>lalimon</t>
  </si>
  <si>
    <t>Limon, Larry</t>
  </si>
  <si>
    <t>ZIA0488</t>
  </si>
  <si>
    <t>cpurce</t>
  </si>
  <si>
    <t>Purcell, Christie</t>
  </si>
  <si>
    <t>TGIV7034</t>
  </si>
  <si>
    <t>tgivs01</t>
  </si>
  <si>
    <t>TGIVS01</t>
  </si>
  <si>
    <t>GVSC1702</t>
  </si>
  <si>
    <t>fmir</t>
  </si>
  <si>
    <t>Mir, Frank</t>
  </si>
  <si>
    <t>GVSA7456</t>
  </si>
  <si>
    <t>alcarro</t>
  </si>
  <si>
    <t>Carroll, Aleisha</t>
  </si>
  <si>
    <t>GVFD1807</t>
  </si>
  <si>
    <t>shasmith</t>
  </si>
  <si>
    <t>Smith, Shana</t>
  </si>
  <si>
    <t>SFHR4436</t>
  </si>
  <si>
    <t>Awilke</t>
  </si>
  <si>
    <t>Wilkerson-Reddell, Ann</t>
  </si>
  <si>
    <t>PSSL8769</t>
  </si>
  <si>
    <t>smeyer</t>
  </si>
  <si>
    <t>Meyer, Stephen</t>
  </si>
  <si>
    <t>PSSO9194</t>
  </si>
  <si>
    <t>WWPT7036</t>
  </si>
  <si>
    <t>ylin</t>
  </si>
  <si>
    <t>Lin, Yiren</t>
  </si>
  <si>
    <t>RRFB7284</t>
  </si>
  <si>
    <t>sorne</t>
  </si>
  <si>
    <t>Orner, Sheri</t>
  </si>
  <si>
    <t>R1RSTIM002</t>
  </si>
  <si>
    <t>WWTR2032</t>
  </si>
  <si>
    <t>agomez</t>
  </si>
  <si>
    <t>Gomez, Alexander</t>
  </si>
  <si>
    <t>FHCG0007</t>
  </si>
  <si>
    <t>ZIA0521</t>
  </si>
  <si>
    <t>dwacas</t>
  </si>
  <si>
    <t>Platt, Dayle</t>
  </si>
  <si>
    <t>ZHR6237</t>
  </si>
  <si>
    <t>GVCT1841</t>
  </si>
  <si>
    <t>10.80.102.159</t>
  </si>
  <si>
    <t>Bmandi</t>
  </si>
  <si>
    <t>Mandigo, Brandie</t>
  </si>
  <si>
    <t>TSSL6991</t>
  </si>
  <si>
    <t>lpabai</t>
  </si>
  <si>
    <t>Pabaira, Lito</t>
  </si>
  <si>
    <t>BSFB0008</t>
  </si>
  <si>
    <t>rwilke</t>
  </si>
  <si>
    <t>Wilkes, Robert</t>
  </si>
  <si>
    <t>GVFB1805</t>
  </si>
  <si>
    <t>enorda</t>
  </si>
  <si>
    <t>Nordan, Edward</t>
  </si>
  <si>
    <t>jmcdad</t>
  </si>
  <si>
    <t>McDade, Jayme</t>
  </si>
  <si>
    <t>GVMK7417</t>
  </si>
  <si>
    <t>twiddo</t>
  </si>
  <si>
    <t>Widdows, Tiffany</t>
  </si>
  <si>
    <t>RRRS4338</t>
  </si>
  <si>
    <t>jtambu</t>
  </si>
  <si>
    <t>Tamburro, John</t>
  </si>
  <si>
    <t>ZAC6157</t>
  </si>
  <si>
    <t>awellm</t>
  </si>
  <si>
    <t>Wellman, Amber</t>
  </si>
  <si>
    <t>SSAC0065</t>
  </si>
  <si>
    <t>SSAC0016</t>
  </si>
  <si>
    <t>acampb</t>
  </si>
  <si>
    <t>Campbell, Apryl</t>
  </si>
  <si>
    <t>SFSL6531</t>
  </si>
  <si>
    <t>rle</t>
  </si>
  <si>
    <t>Le, Rose</t>
  </si>
  <si>
    <t>wherna</t>
  </si>
  <si>
    <t>Hernandez, William</t>
  </si>
  <si>
    <t>yengel</t>
  </si>
  <si>
    <t>Jaritngarml, Yuporn</t>
  </si>
  <si>
    <t>FHPR0008</t>
  </si>
  <si>
    <t>Bpersh</t>
  </si>
  <si>
    <t>Pershing, Beverly</t>
  </si>
  <si>
    <t>MaJacks</t>
  </si>
  <si>
    <t>Jackson, Marion</t>
  </si>
  <si>
    <t>FHPR0006</t>
  </si>
  <si>
    <t>ZRC5836</t>
  </si>
  <si>
    <t>GVHT1772</t>
  </si>
  <si>
    <t>ployd</t>
  </si>
  <si>
    <t>Loyd, Pamela</t>
  </si>
  <si>
    <t>elaperez</t>
  </si>
  <si>
    <t>Perez, Elaine</t>
  </si>
  <si>
    <t>RRSA4275</t>
  </si>
  <si>
    <t>pdennis</t>
  </si>
  <si>
    <t>Denniston, Patricia</t>
  </si>
  <si>
    <t>ZMK5969</t>
  </si>
  <si>
    <t>cajones</t>
  </si>
  <si>
    <t>Jones, Carter</t>
  </si>
  <si>
    <t>jnowor</t>
  </si>
  <si>
    <t>Noworyta, Joseph</t>
  </si>
  <si>
    <t>cstine</t>
  </si>
  <si>
    <t>Stine, Chris</t>
  </si>
  <si>
    <t>RRSO8239</t>
  </si>
  <si>
    <t>GVFB7310</t>
  </si>
  <si>
    <t>SSAC0020</t>
  </si>
  <si>
    <t>tevans</t>
  </si>
  <si>
    <t>Evans, Tina</t>
  </si>
  <si>
    <t>MSSC0001</t>
  </si>
  <si>
    <t>MSCOUNT</t>
  </si>
  <si>
    <t>TSRS8819</t>
  </si>
  <si>
    <t>Gmencf</t>
  </si>
  <si>
    <t>Mencfeldowski, Glen</t>
  </si>
  <si>
    <t>FHPR0022</t>
  </si>
  <si>
    <t>495-3141</t>
  </si>
  <si>
    <t>BAEX7353</t>
  </si>
  <si>
    <t>Rglise</t>
  </si>
  <si>
    <t>Glise, Rick</t>
  </si>
  <si>
    <t>10.60.90.79</t>
  </si>
  <si>
    <t>ZIA0522</t>
  </si>
  <si>
    <t>jinter</t>
  </si>
  <si>
    <t>Interiano, Josephine</t>
  </si>
  <si>
    <t>ZIA0489</t>
  </si>
  <si>
    <t>ZEX0237</t>
  </si>
  <si>
    <t>emjeld</t>
  </si>
  <si>
    <t>Mjelde, Emily</t>
  </si>
  <si>
    <t>SSPB0012</t>
  </si>
  <si>
    <t>Jfaulk</t>
  </si>
  <si>
    <t>Faulkner, Joyce</t>
  </si>
  <si>
    <t>RRCT7695</t>
  </si>
  <si>
    <t>jmachi</t>
  </si>
  <si>
    <t>Machiguchi, John</t>
  </si>
  <si>
    <t>Mdeguz</t>
  </si>
  <si>
    <t>PSST9191</t>
  </si>
  <si>
    <t>miharri</t>
  </si>
  <si>
    <t>Harris, Michael</t>
  </si>
  <si>
    <t>SSFD0002</t>
  </si>
  <si>
    <t>anvilla</t>
  </si>
  <si>
    <t>Villarta, Angelica</t>
  </si>
  <si>
    <t>SSAC0055</t>
  </si>
  <si>
    <t>jawils</t>
  </si>
  <si>
    <t>Wilson, Jared</t>
  </si>
  <si>
    <t>keclar</t>
  </si>
  <si>
    <t>Clark, Kevin</t>
  </si>
  <si>
    <t>GVSV2072</t>
  </si>
  <si>
    <t>FHIM0003</t>
  </si>
  <si>
    <t>Mmeza</t>
  </si>
  <si>
    <t>Meza, Maria</t>
  </si>
  <si>
    <t>TICJ.lszeg3]FR9</t>
  </si>
  <si>
    <t>FRTG8738</t>
  </si>
  <si>
    <t>pjonas</t>
  </si>
  <si>
    <t>Jonas, Paul</t>
  </si>
  <si>
    <t>RRFB7551</t>
  </si>
  <si>
    <t>ployol</t>
  </si>
  <si>
    <t>Loyola, Paulo</t>
  </si>
  <si>
    <t>FRHT1201</t>
  </si>
  <si>
    <t>-uM0M$p94/hb!fj</t>
  </si>
  <si>
    <t>RRRC4319</t>
  </si>
  <si>
    <t>rrpromo7</t>
  </si>
  <si>
    <t>RRPROMO7</t>
  </si>
  <si>
    <t>RRRC4321</t>
  </si>
  <si>
    <t>rbarto</t>
  </si>
  <si>
    <t>Bartocci, Rhonda</t>
  </si>
  <si>
    <t>TGEX2016</t>
  </si>
  <si>
    <t>mmagru</t>
  </si>
  <si>
    <t>Magruder, Mark</t>
  </si>
  <si>
    <t>GVFB7437</t>
  </si>
  <si>
    <t>Psherl</t>
  </si>
  <si>
    <t>Sherlock, Peter</t>
  </si>
  <si>
    <t>FIAC4050Q</t>
  </si>
  <si>
    <t>WFEX3650</t>
  </si>
  <si>
    <t>jaguill</t>
  </si>
  <si>
    <t>Guillen, Jacqueline</t>
  </si>
  <si>
    <t>10.40.93.51</t>
  </si>
  <si>
    <t>SSPB0001</t>
  </si>
  <si>
    <t>NTlC04b%{PTweh7</t>
  </si>
  <si>
    <t>Stejone</t>
  </si>
  <si>
    <t>Jones, Stella</t>
  </si>
  <si>
    <t>WWW</t>
  </si>
  <si>
    <t>FHEXT857</t>
  </si>
  <si>
    <t>Mkustu</t>
  </si>
  <si>
    <t>Kustudia, Marko</t>
  </si>
  <si>
    <t>BSFB0014</t>
  </si>
  <si>
    <t>Cclark</t>
  </si>
  <si>
    <t>Clark, Chris</t>
  </si>
  <si>
    <t>WWSL1776</t>
  </si>
  <si>
    <t>WWProgMeter</t>
  </si>
  <si>
    <t>Wild Wild West, Progressive Meter</t>
  </si>
  <si>
    <t>SFFB2611</t>
  </si>
  <si>
    <t>Mvalen</t>
  </si>
  <si>
    <t>Valencia, Mario</t>
  </si>
  <si>
    <t>BSEX3894</t>
  </si>
  <si>
    <t>dbecer</t>
  </si>
  <si>
    <t>Becerra, Dawn</t>
  </si>
  <si>
    <t>RRCN8230</t>
  </si>
  <si>
    <t>V#{m&amp;WTL60Ns{Ou</t>
  </si>
  <si>
    <t>jtress</t>
  </si>
  <si>
    <t>Briggs, Johanna</t>
  </si>
  <si>
    <t>Awrigh</t>
  </si>
  <si>
    <t>Wright, Alonzo</t>
  </si>
  <si>
    <t>ZEX7128</t>
  </si>
  <si>
    <t>PSHK8851</t>
  </si>
  <si>
    <t>FRPT6696</t>
  </si>
  <si>
    <t>tmille</t>
  </si>
  <si>
    <t>Miller, Terry</t>
  </si>
  <si>
    <t>drodri</t>
  </si>
  <si>
    <t>Rodriguez, Dariel</t>
  </si>
  <si>
    <t>shsmith</t>
  </si>
  <si>
    <t>Smith, Shirley</t>
  </si>
  <si>
    <t>jereyes</t>
  </si>
  <si>
    <t>Reyes, Jesus</t>
  </si>
  <si>
    <t>TSHR6662</t>
  </si>
  <si>
    <t>lgambu</t>
  </si>
  <si>
    <t>Province, Luann</t>
  </si>
  <si>
    <t>sralst</t>
  </si>
  <si>
    <t>Ralston, Stephanie</t>
  </si>
  <si>
    <t>BSHR0006</t>
  </si>
  <si>
    <t>carcruz</t>
  </si>
  <si>
    <t>Cruz, Carolyn</t>
  </si>
  <si>
    <t>%$J31h+73kvE79U</t>
  </si>
  <si>
    <t>rbrasc</t>
  </si>
  <si>
    <t>Braschler, Ralph</t>
  </si>
  <si>
    <t>ZIT0034</t>
  </si>
  <si>
    <t>mpeaco</t>
  </si>
  <si>
    <t>Peacock, Marlene</t>
  </si>
  <si>
    <t>ZAD6064</t>
  </si>
  <si>
    <t>rcotre</t>
  </si>
  <si>
    <t>Cotrell, Renee</t>
  </si>
  <si>
    <t>mpalma</t>
  </si>
  <si>
    <t>Palma, Marcial</t>
  </si>
  <si>
    <t>appv</t>
  </si>
  <si>
    <t>ZIT5940</t>
  </si>
  <si>
    <t>dmcken</t>
  </si>
  <si>
    <t>McKenna, David</t>
  </si>
  <si>
    <t>ahorit</t>
  </si>
  <si>
    <t>Horito, Anthony</t>
  </si>
  <si>
    <t>A 001</t>
  </si>
  <si>
    <t>PSCG0005</t>
  </si>
  <si>
    <t>Fcook</t>
  </si>
  <si>
    <t>Cook, Flossie</t>
  </si>
  <si>
    <t>Taguil</t>
  </si>
  <si>
    <t>rfriedm</t>
  </si>
  <si>
    <t>ZIT6152</t>
  </si>
  <si>
    <t>RRCN8209</t>
  </si>
  <si>
    <t>iespar</t>
  </si>
  <si>
    <t>Esparza, Isamar</t>
  </si>
  <si>
    <t>SSHK0002</t>
  </si>
  <si>
    <t>hnacel</t>
  </si>
  <si>
    <t>Nacelli, Hason</t>
  </si>
  <si>
    <t>MILEe</t>
  </si>
  <si>
    <t>WFEX4707</t>
  </si>
  <si>
    <t>lismit</t>
  </si>
  <si>
    <t>Hunt, Linda</t>
  </si>
  <si>
    <t>RRCG0003</t>
  </si>
  <si>
    <t>rrcage03</t>
  </si>
  <si>
    <t>RRCAGE03</t>
  </si>
  <si>
    <t>SSFB0008</t>
  </si>
  <si>
    <t>Jbeagl</t>
  </si>
  <si>
    <t>Beagle, John</t>
  </si>
  <si>
    <t>RRPK2029</t>
  </si>
  <si>
    <t>Tmccar</t>
  </si>
  <si>
    <t>McCardell, Tim</t>
  </si>
  <si>
    <t>10.245.38.122</t>
  </si>
  <si>
    <t>BSEN0009</t>
  </si>
  <si>
    <t>dmckin</t>
  </si>
  <si>
    <t>McKinzie, Doreen</t>
  </si>
  <si>
    <t>ZIT0028</t>
  </si>
  <si>
    <t>Rsuma</t>
  </si>
  <si>
    <t>Suma, Robyn</t>
  </si>
  <si>
    <t>ZEX0322</t>
  </si>
  <si>
    <t>Lmarle</t>
  </si>
  <si>
    <t>Hanson, Lynn</t>
  </si>
  <si>
    <t>FHRS0001</t>
  </si>
  <si>
    <t>Ltrave</t>
  </si>
  <si>
    <t>Travell, Laura</t>
  </si>
  <si>
    <t>ZEX6183</t>
  </si>
  <si>
    <t>cbuerr</t>
  </si>
  <si>
    <t>Buerry, Cammie</t>
  </si>
  <si>
    <t>RRCT8307</t>
  </si>
  <si>
    <t>ncarri</t>
  </si>
  <si>
    <t>Carrillo, Nicole</t>
  </si>
  <si>
    <t>ZEX0295</t>
  </si>
  <si>
    <t>Ekolb</t>
  </si>
  <si>
    <t>Kolb, Ed</t>
  </si>
  <si>
    <t>ZIT7012</t>
  </si>
  <si>
    <t>FHHR0006</t>
  </si>
  <si>
    <t>joperei</t>
  </si>
  <si>
    <t>Pereira, Joao</t>
  </si>
  <si>
    <t>Dizzo</t>
  </si>
  <si>
    <t>TSSL6982</t>
  </si>
  <si>
    <t>jmorri</t>
  </si>
  <si>
    <t>Morrison, Jason</t>
  </si>
  <si>
    <t>Kmygan</t>
  </si>
  <si>
    <t>Mygan, Keith</t>
  </si>
  <si>
    <t>Ruiz, Vicky</t>
  </si>
  <si>
    <t>rheldm</t>
  </si>
  <si>
    <t>Heldman, Ryan</t>
  </si>
  <si>
    <t>GVMK1775</t>
  </si>
  <si>
    <t>WFAC4727</t>
  </si>
  <si>
    <t>ksaffo</t>
  </si>
  <si>
    <t>Safford, Keith</t>
  </si>
  <si>
    <t>RRFB7628</t>
  </si>
  <si>
    <t>ahansr</t>
  </si>
  <si>
    <t>Hansrisuk, Apiruk</t>
  </si>
  <si>
    <t>BSFB0010</t>
  </si>
  <si>
    <t>jholtz</t>
  </si>
  <si>
    <t>Holtz, James</t>
  </si>
  <si>
    <t>amusgro</t>
  </si>
  <si>
    <t>Musgrove, Andrew</t>
  </si>
  <si>
    <t>jemrey</t>
  </si>
  <si>
    <t>Emrey, Jean</t>
  </si>
  <si>
    <t>SSAC0008</t>
  </si>
  <si>
    <t>radye</t>
  </si>
  <si>
    <t>Dye, Rachelle</t>
  </si>
  <si>
    <t>kharve</t>
  </si>
  <si>
    <t>Harvey, Karen</t>
  </si>
  <si>
    <t>TSCG0456Q</t>
  </si>
  <si>
    <t>FHPR0012</t>
  </si>
  <si>
    <t>Mbaile</t>
  </si>
  <si>
    <t>Bailey, Mary</t>
  </si>
  <si>
    <t>ZVA1JPASQU</t>
  </si>
  <si>
    <t>amZ]{z1Hvu7R$cW</t>
  </si>
  <si>
    <t>TSEG8942</t>
  </si>
  <si>
    <t>Wwillia</t>
  </si>
  <si>
    <t>Williamson, Walter</t>
  </si>
  <si>
    <t>Msando</t>
  </si>
  <si>
    <t>Sandoval, Maria</t>
  </si>
  <si>
    <t>SFSC4442</t>
  </si>
  <si>
    <t>WFAC1431</t>
  </si>
  <si>
    <t>O[{903}1zUB&amp;]14</t>
  </si>
  <si>
    <t>Ivenzo</t>
  </si>
  <si>
    <t>Venzon, Irene</t>
  </si>
  <si>
    <t>ZIT6013</t>
  </si>
  <si>
    <t>Tbruno</t>
  </si>
  <si>
    <t>Bruno, Anthony</t>
  </si>
  <si>
    <t>RRSL4276</t>
  </si>
  <si>
    <t>Jhipp</t>
  </si>
  <si>
    <t>Hipp, Jim</t>
  </si>
  <si>
    <t>cgrube</t>
  </si>
  <si>
    <t>SSPT0002</t>
  </si>
  <si>
    <t>sgrady</t>
  </si>
  <si>
    <t>Gradyan, Steve</t>
  </si>
  <si>
    <t>GVSA7457</t>
  </si>
  <si>
    <t>FHPR0007</t>
  </si>
  <si>
    <t>Jkulp</t>
  </si>
  <si>
    <t>SFIM6559</t>
  </si>
  <si>
    <t>roberge</t>
  </si>
  <si>
    <t>Berger, Robert</t>
  </si>
  <si>
    <t>PSST9195</t>
  </si>
  <si>
    <t>msulli</t>
  </si>
  <si>
    <t>Sullivan, Michael</t>
  </si>
  <si>
    <t>PSIA6909</t>
  </si>
  <si>
    <t>4MW4@Yn0Iyz[7Q0</t>
  </si>
  <si>
    <t>ZEX0208</t>
  </si>
  <si>
    <t>manton</t>
  </si>
  <si>
    <t>Antonacci, Mary</t>
  </si>
  <si>
    <t>GVSL7080</t>
  </si>
  <si>
    <t>kackle</t>
  </si>
  <si>
    <t>Ackley, Kyle</t>
  </si>
  <si>
    <t>Aarell</t>
  </si>
  <si>
    <t>Medina, Arlene</t>
  </si>
  <si>
    <t>RRPT6446</t>
  </si>
  <si>
    <t>wpetti</t>
  </si>
  <si>
    <t>Pettine, Wanda</t>
  </si>
  <si>
    <t>SSHK0003</t>
  </si>
  <si>
    <t>SSPTRHK01</t>
  </si>
  <si>
    <t>FHPR0009</t>
  </si>
  <si>
    <t>swudtk</t>
  </si>
  <si>
    <t>Wudtke, Sheila</t>
  </si>
  <si>
    <t>acolli</t>
  </si>
  <si>
    <t>Collins, Asia</t>
  </si>
  <si>
    <t>BSFB0022</t>
  </si>
  <si>
    <t>agonch</t>
  </si>
  <si>
    <t>Goncharenko, Alexander</t>
  </si>
  <si>
    <t>Triddl</t>
  </si>
  <si>
    <t>Riddle, Tiffany</t>
  </si>
  <si>
    <t>SSAC0039</t>
  </si>
  <si>
    <t>GVFB7385</t>
  </si>
  <si>
    <t>sbarr</t>
  </si>
  <si>
    <t>Barr, Stephan</t>
  </si>
  <si>
    <t>WFRS0006</t>
  </si>
  <si>
    <t>jomolin</t>
  </si>
  <si>
    <t>Molina, Jorge</t>
  </si>
  <si>
    <t>GVMK7455</t>
  </si>
  <si>
    <t>jbalis</t>
  </si>
  <si>
    <t>Balista, Juanita</t>
  </si>
  <si>
    <t>cmoore</t>
  </si>
  <si>
    <t>Moore, Casey</t>
  </si>
  <si>
    <t>TSFD0003</t>
  </si>
  <si>
    <t>PSFD1444</t>
  </si>
  <si>
    <t>PoDFG3aPO)n8G]h</t>
  </si>
  <si>
    <t>joswilli</t>
  </si>
  <si>
    <t>Williams, Joshua</t>
  </si>
  <si>
    <t>ZCC1585</t>
  </si>
  <si>
    <t>Cvohwi</t>
  </si>
  <si>
    <t>Vohwinkel, Carmen</t>
  </si>
  <si>
    <t>GVCG2113</t>
  </si>
  <si>
    <t>gvcredit</t>
  </si>
  <si>
    <t>GVR - Cage Credit</t>
  </si>
  <si>
    <t>)0zhxGSy+[iT0OY</t>
  </si>
  <si>
    <t>Lhello</t>
  </si>
  <si>
    <t>Hellow, Linda</t>
  </si>
  <si>
    <t>RIM2045</t>
  </si>
  <si>
    <t>ZEX0288</t>
  </si>
  <si>
    <t>jadams</t>
  </si>
  <si>
    <t>Adams, James</t>
  </si>
  <si>
    <t>Jsleet</t>
  </si>
  <si>
    <t>Sleeter, Jason</t>
  </si>
  <si>
    <t>ZAD6039</t>
  </si>
  <si>
    <t>drawle</t>
  </si>
  <si>
    <t>Rawle, Dawn</t>
  </si>
  <si>
    <t>SSSO5005</t>
  </si>
  <si>
    <t>10.70.90.130</t>
  </si>
  <si>
    <t>sstock</t>
  </si>
  <si>
    <t>Stock, Shawna</t>
  </si>
  <si>
    <t>GVHK1828</t>
  </si>
  <si>
    <t>erdiaz</t>
  </si>
  <si>
    <t>Diaz Martinez, Erendida</t>
  </si>
  <si>
    <t>SSAC0011</t>
  </si>
  <si>
    <t>triddl</t>
  </si>
  <si>
    <t>FRGS8761</t>
  </si>
  <si>
    <t>Cwalsh</t>
  </si>
  <si>
    <t>Walsh, Cathy</t>
  </si>
  <si>
    <t>FRGS8759</t>
  </si>
  <si>
    <t>N7VFRPCIUTG01</t>
  </si>
  <si>
    <t>SFFB2685</t>
  </si>
  <si>
    <t>cloliva</t>
  </si>
  <si>
    <t>Olivas, Claudia</t>
  </si>
  <si>
    <t>RRCG2129</t>
  </si>
  <si>
    <t>!m]S@&amp;3$[FI3}5+</t>
  </si>
  <si>
    <t>SSAC0014</t>
  </si>
  <si>
    <t>rherna</t>
  </si>
  <si>
    <t>Hernandez, Roz</t>
  </si>
  <si>
    <t>BSST0028</t>
  </si>
  <si>
    <t>tvarel</t>
  </si>
  <si>
    <t>Varela, Tim</t>
  </si>
  <si>
    <t>ZEX6246</t>
  </si>
  <si>
    <t>nlange</t>
  </si>
  <si>
    <t>Langenfeld, Nicholas</t>
  </si>
  <si>
    <t>BSCG0017</t>
  </si>
  <si>
    <t>bscan01</t>
  </si>
  <si>
    <t>Boulder - Cage Scanner Color</t>
  </si>
  <si>
    <t>RRHT1899</t>
  </si>
  <si>
    <t>cgrego</t>
  </si>
  <si>
    <t>Grego, Christine</t>
  </si>
  <si>
    <t>ZEX0370</t>
  </si>
  <si>
    <t>snares</t>
  </si>
  <si>
    <t>Nares, Susan</t>
  </si>
  <si>
    <t>Pgarne</t>
  </si>
  <si>
    <t>Garner, Pamela</t>
  </si>
  <si>
    <t>TSCC7524</t>
  </si>
  <si>
    <t>ZEX0347</t>
  </si>
  <si>
    <t>kaguir</t>
  </si>
  <si>
    <t>Aguirre, Kristy</t>
  </si>
  <si>
    <t>WWHK1754</t>
  </si>
  <si>
    <t>igarci</t>
  </si>
  <si>
    <t>Garcia, Ivonne</t>
  </si>
  <si>
    <t>FREG8740</t>
  </si>
  <si>
    <t>gawads</t>
  </si>
  <si>
    <t>Wadsworth, Gary</t>
  </si>
  <si>
    <t>Rherna</t>
  </si>
  <si>
    <t>RRRS7555</t>
  </si>
  <si>
    <t>Cevely</t>
  </si>
  <si>
    <t>0@lL727rGLC(%4q</t>
  </si>
  <si>
    <t>ZEX0376</t>
  </si>
  <si>
    <t>amangi</t>
  </si>
  <si>
    <t>Mangione, Anthony</t>
  </si>
  <si>
    <t>FHPR0003</t>
  </si>
  <si>
    <t xml:space="preserve">KNAJAR </t>
  </si>
  <si>
    <t>RRHK8207</t>
  </si>
  <si>
    <t>fh wfb</t>
  </si>
  <si>
    <t>RRIM8202</t>
  </si>
  <si>
    <t>lborns</t>
  </si>
  <si>
    <t>Bornstein, Louis</t>
  </si>
  <si>
    <t>Dpears</t>
  </si>
  <si>
    <t>Pearson, David</t>
  </si>
  <si>
    <t>ZDM1971</t>
  </si>
  <si>
    <t>ZEX0326</t>
  </si>
  <si>
    <t>Rlockw</t>
  </si>
  <si>
    <t>Lockwood, Rita</t>
  </si>
  <si>
    <t>TSBW9136</t>
  </si>
  <si>
    <t>10.60.96.80</t>
  </si>
  <si>
    <t>tywrigh</t>
  </si>
  <si>
    <t>Wright, Tyler</t>
  </si>
  <si>
    <t>jashaw</t>
  </si>
  <si>
    <t>Shaw, James</t>
  </si>
  <si>
    <t>ZDC0352</t>
  </si>
  <si>
    <t>Jferen</t>
  </si>
  <si>
    <t>Ference, Joanie</t>
  </si>
  <si>
    <t>TSST8837</t>
  </si>
  <si>
    <t>ggoldb</t>
  </si>
  <si>
    <t>SSAC0051</t>
  </si>
  <si>
    <t>mwasia</t>
  </si>
  <si>
    <t>Wasiak, Marina</t>
  </si>
  <si>
    <t>GVCT1768</t>
  </si>
  <si>
    <t>BASV2086</t>
  </si>
  <si>
    <t>bbeatt</t>
  </si>
  <si>
    <t>Beatty, Brandon</t>
  </si>
  <si>
    <t>TSCG0006</t>
  </si>
  <si>
    <t>Kharve</t>
  </si>
  <si>
    <t>outlook</t>
  </si>
  <si>
    <t>RRST7624</t>
  </si>
  <si>
    <t>7V7i2GDA&amp;+7I$#i</t>
  </si>
  <si>
    <t>e.Fz9+7P/Mbep&amp;,</t>
  </si>
  <si>
    <t>SSAC0046</t>
  </si>
  <si>
    <t>schiga</t>
  </si>
  <si>
    <t>Chigani, Shadi</t>
  </si>
  <si>
    <t>GVHT8384</t>
  </si>
  <si>
    <t>callen</t>
  </si>
  <si>
    <t>Allen, Casey</t>
  </si>
  <si>
    <t>JeSmith</t>
  </si>
  <si>
    <t>Smith, Jeffery</t>
  </si>
  <si>
    <t>GVCG0004</t>
  </si>
  <si>
    <t>F8D{bS0e8X9Qyn6</t>
  </si>
  <si>
    <t>taspin</t>
  </si>
  <si>
    <t>Aspinwall, Tammy</t>
  </si>
  <si>
    <t>FRCG9155</t>
  </si>
  <si>
    <t>Isentu</t>
  </si>
  <si>
    <t>Senturk, Ibrahim</t>
  </si>
  <si>
    <t>SFEG6977</t>
  </si>
  <si>
    <t>mriley</t>
  </si>
  <si>
    <t>Riley, Mike</t>
  </si>
  <si>
    <t>RRCT7663</t>
  </si>
  <si>
    <t>gicampb</t>
  </si>
  <si>
    <t>Campbell, Gina</t>
  </si>
  <si>
    <t>Czenne</t>
  </si>
  <si>
    <t>RRPB1954</t>
  </si>
  <si>
    <t>Chosey</t>
  </si>
  <si>
    <t>Hosey, Chelsea</t>
  </si>
  <si>
    <t>ccarls</t>
  </si>
  <si>
    <t>Carlson, Carrie</t>
  </si>
  <si>
    <t>Pcholk</t>
  </si>
  <si>
    <t>Cholke, Pauline</t>
  </si>
  <si>
    <t>WFAC1434</t>
  </si>
  <si>
    <t>10.70.85.137</t>
  </si>
  <si>
    <t>RRCT7684</t>
  </si>
  <si>
    <t>!8%u+yx/8O4TR9A</t>
  </si>
  <si>
    <t>jartia</t>
  </si>
  <si>
    <t>Artiaga, Joy</t>
  </si>
  <si>
    <t>RRFD2092</t>
  </si>
  <si>
    <t>ykonis</t>
  </si>
  <si>
    <t>Konishi, Yumiko</t>
  </si>
  <si>
    <t>Universal Desktop</t>
  </si>
  <si>
    <t>A 3</t>
  </si>
  <si>
    <t>Info51987</t>
  </si>
  <si>
    <t>infouser</t>
  </si>
  <si>
    <t>jcarlv</t>
  </si>
  <si>
    <t>Carlvin, Jolanda</t>
  </si>
  <si>
    <t>{Y2z1;Z[8cwmV9j</t>
  </si>
  <si>
    <t>BSHK0004</t>
  </si>
  <si>
    <t>chaske</t>
  </si>
  <si>
    <t>Haskell, Cheryl</t>
  </si>
  <si>
    <t>TSAC5905</t>
  </si>
  <si>
    <t>mmerin</t>
  </si>
  <si>
    <t>Merin, Mary</t>
  </si>
  <si>
    <t>TSEN8827</t>
  </si>
  <si>
    <t>jriege</t>
  </si>
  <si>
    <t>Riegert, Joseph</t>
  </si>
  <si>
    <t>ZIA4265</t>
  </si>
  <si>
    <t>gvasqu</t>
  </si>
  <si>
    <t>Vasquez, George</t>
  </si>
  <si>
    <t>FHPR0016</t>
  </si>
  <si>
    <t>Lwhite</t>
  </si>
  <si>
    <t>White, Linda</t>
  </si>
  <si>
    <t>jturki</t>
  </si>
  <si>
    <t>Turkington, Joyce</t>
  </si>
  <si>
    <t>DIzzo</t>
  </si>
  <si>
    <t>lee cane 512-427-2322</t>
  </si>
  <si>
    <t>ychen</t>
  </si>
  <si>
    <t>Chen, Yan Hong</t>
  </si>
  <si>
    <t>RRSA1143</t>
  </si>
  <si>
    <t>I9!m82!Ah87}xr1</t>
  </si>
  <si>
    <t>ghenry</t>
  </si>
  <si>
    <t>Henry, Gianna</t>
  </si>
  <si>
    <t>GVEX1969</t>
  </si>
  <si>
    <t>vbaril</t>
  </si>
  <si>
    <t>Barile, Vincent</t>
  </si>
  <si>
    <t>ZMK0259</t>
  </si>
  <si>
    <t>kleona</t>
  </si>
  <si>
    <t>Leonard, Kevin</t>
  </si>
  <si>
    <t>13SV9P6cM9F-SU4</t>
  </si>
  <si>
    <t>mscount</t>
  </si>
  <si>
    <t>,$,[@4}NB0S,Nqr</t>
  </si>
  <si>
    <t>pjacks</t>
  </si>
  <si>
    <t>Jackson, Phyllis</t>
  </si>
  <si>
    <t>SSAC0033</t>
  </si>
  <si>
    <t>BSHK0001</t>
  </si>
  <si>
    <t>Ebahen</t>
  </si>
  <si>
    <t>Bahena, Erik</t>
  </si>
  <si>
    <t>SSFD0009</t>
  </si>
  <si>
    <t>madeguz</t>
  </si>
  <si>
    <t>Deguzman, Matthew</t>
  </si>
  <si>
    <t>stoshi</t>
  </si>
  <si>
    <t>Toshi, Steve</t>
  </si>
  <si>
    <t>ZEX7133</t>
  </si>
  <si>
    <t>ZEX0215</t>
  </si>
  <si>
    <t>sjourn</t>
  </si>
  <si>
    <t>Journell, Shelia</t>
  </si>
  <si>
    <t>PSHR8737</t>
  </si>
  <si>
    <t>Asoto</t>
  </si>
  <si>
    <t>Soto, Alondra</t>
  </si>
  <si>
    <t>RREX1707</t>
  </si>
  <si>
    <t>lbushe</t>
  </si>
  <si>
    <t>Bushey, Laura</t>
  </si>
  <si>
    <t>Dknuds</t>
  </si>
  <si>
    <t>Knudson, Doug</t>
  </si>
  <si>
    <t>RRRS1057</t>
  </si>
  <si>
    <t>SSIA4100</t>
  </si>
  <si>
    <t>aarell</t>
  </si>
  <si>
    <t>Murray, Stephanie</t>
  </si>
  <si>
    <t>stmurra</t>
  </si>
  <si>
    <t>sadkis</t>
  </si>
  <si>
    <t>Adkis, Sanjuana</t>
  </si>
  <si>
    <t>ZHR6267</t>
  </si>
  <si>
    <t>GVSC7397</t>
  </si>
  <si>
    <t>jturme</t>
  </si>
  <si>
    <t>Turmell, James</t>
  </si>
  <si>
    <t>SSMK0006</t>
  </si>
  <si>
    <t>RRIC1941</t>
  </si>
  <si>
    <t>GVSP7341</t>
  </si>
  <si>
    <t>ochiri</t>
  </si>
  <si>
    <t>Chirino, Oscar</t>
  </si>
  <si>
    <t>WFMK1492</t>
  </si>
  <si>
    <t>BSGS0003</t>
  </si>
  <si>
    <t>nina</t>
  </si>
  <si>
    <t>Ina, Neichka</t>
  </si>
  <si>
    <t>mpanch</t>
  </si>
  <si>
    <t>PSGS8728</t>
  </si>
  <si>
    <t>pdunn</t>
  </si>
  <si>
    <t>Dunn, Patricia</t>
  </si>
  <si>
    <t>(/$[;Ijk,C8vn1c</t>
  </si>
  <si>
    <t>snatio</t>
  </si>
  <si>
    <t>Nation, Shari</t>
  </si>
  <si>
    <t>khomm</t>
  </si>
  <si>
    <t>Homm, Kevin</t>
  </si>
  <si>
    <t>BSCO0001</t>
  </si>
  <si>
    <t>RRFB6472</t>
  </si>
  <si>
    <t>ISSmae</t>
  </si>
  <si>
    <t>GVFB1905</t>
  </si>
  <si>
    <t>1834ryVZ7N3/4I7</t>
  </si>
  <si>
    <t>cokeef</t>
  </si>
  <si>
    <t>O'Keefe, Craig</t>
  </si>
  <si>
    <t>PSHR8995</t>
  </si>
  <si>
    <t>kolive</t>
  </si>
  <si>
    <t>Oliver, Kevin</t>
  </si>
  <si>
    <t>WVCG0001</t>
  </si>
  <si>
    <t>VM</t>
  </si>
  <si>
    <t>SFHOT1</t>
  </si>
  <si>
    <t>Jgengl</t>
  </si>
  <si>
    <t>Gengler, Jeff</t>
  </si>
  <si>
    <t>Medina, Maria</t>
  </si>
  <si>
    <t>Jvidma</t>
  </si>
  <si>
    <t>Vidmar, John</t>
  </si>
  <si>
    <t>ZITJVIDMAR</t>
  </si>
  <si>
    <t>BSEN0004</t>
  </si>
  <si>
    <t>pbutle</t>
  </si>
  <si>
    <t>Butler, Phillip</t>
  </si>
  <si>
    <t>FRKN6687</t>
  </si>
  <si>
    <t>gtille</t>
  </si>
  <si>
    <t>Tilley, Geri</t>
  </si>
  <si>
    <t>FRKN162Q</t>
  </si>
  <si>
    <t>PSIM8847</t>
  </si>
  <si>
    <t>Jmeek</t>
  </si>
  <si>
    <t>Meek, Juana</t>
  </si>
  <si>
    <t>FHPR0019</t>
  </si>
  <si>
    <t>cfit</t>
  </si>
  <si>
    <t>lemers</t>
  </si>
  <si>
    <t>Emerson, Lisa</t>
  </si>
  <si>
    <t>SSAC0032</t>
  </si>
  <si>
    <t>81nZEDfbyq9-$Ww</t>
  </si>
  <si>
    <t>dbrise</t>
  </si>
  <si>
    <t>Briseno, Diana</t>
  </si>
  <si>
    <t>02EVRE9z2%081}9</t>
  </si>
  <si>
    <t>dBrls858zvs[k3$</t>
  </si>
  <si>
    <t>}$I72Gt1/Cps525</t>
  </si>
  <si>
    <t>sfrc4409</t>
  </si>
  <si>
    <t>sfrc4410</t>
  </si>
  <si>
    <t>GF4#d72ID6;8]c,</t>
  </si>
  <si>
    <t>SB7XZ(&amp;tk@{rp69</t>
  </si>
  <si>
    <t>8+5}X}Ohi],6334</t>
  </si>
  <si>
    <t>tI;Zuc3(cttx7e3</t>
  </si>
  <si>
    <t>w]!F.7n34CuR6o4</t>
  </si>
  <si>
    <t>pvtLcJ7}{8EUN.+</t>
  </si>
  <si>
    <t>6v8R15MSjGW#q43</t>
  </si>
  <si>
    <t>o4ys317pHEa(b3a</t>
  </si>
  <si>
    <t>+BMQnt@xAvfy07G</t>
  </si>
  <si>
    <t>a7@w5!2zoc+.p2R</t>
  </si>
  <si>
    <t>k15vktmhgb4$9nF</t>
  </si>
  <si>
    <t>77lkog.zk!iqm1L</t>
  </si>
  <si>
    <t>SFIT6735</t>
  </si>
  <si>
    <t>aZ!36o9Uh3%4c5;0O</t>
  </si>
  <si>
    <t>BRAVOKIOSK1SFST</t>
  </si>
  <si>
    <t>6TN/6&amp;i,4%t7Vhr</t>
  </si>
  <si>
    <t>o,6BC(xH+X7/lar</t>
  </si>
  <si>
    <t>c.Mo6tJ7xFd7;qn</t>
  </si>
  <si>
    <t>@1aE1pf!{y]M+o0</t>
  </si>
  <si>
    <t>y8b23qz6$CO.-cl</t>
  </si>
  <si>
    <t>Z&amp;+[&amp;&amp;Fv20c90X9</t>
  </si>
  <si>
    <t>KEdJ1zb5e]0pMbL</t>
  </si>
  <si>
    <t>XjCuJ4065W2,74n</t>
  </si>
  <si>
    <t>ZIT8925</t>
  </si>
  <si>
    <t>]BY52YE88Gj0{.u</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</si>
</sst>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800]dddd\,\ mmmm\ dd\,\ yyyy"/>
    <numFmt numFmtId="165" formatCode="[$-409]h:mm\ AM/PM;@"/>
  </numFmts>
  <fonts count="32">
    <font>
      <sz val="11"/>
      <color theme="1"/>
      <name val="Calibri"/>
      <family val="2"/>
      <scheme val="minor"/>
    </font>
    <font>
      <u/>
      <sz val="11"/>
      <color theme="10"/>
      <name val="Calibri"/>
      <family val="2"/>
    </font>
    <font>
      <b/>
      <sz val="11"/>
      <color theme="1"/>
      <name val="Calibri"/>
      <family val="2"/>
      <scheme val="minor"/>
    </font>
    <font>
      <sz val="16"/>
      <color theme="0"/>
      <name val="Calibri"/>
      <family val="2"/>
      <scheme val="minor"/>
    </font>
    <font>
      <sz val="11"/>
      <name val="Calibri"/>
      <family val="2"/>
      <scheme val="minor"/>
    </font>
    <font>
      <b/>
      <sz val="11"/>
      <name val="Calibri"/>
      <family val="2"/>
      <scheme val="minor"/>
    </font>
    <font>
      <sz val="11"/>
      <color rgb="FF000000"/>
      <name val="Calibri"/>
      <family val="2"/>
      <scheme val="minor"/>
    </font>
    <font>
      <b/>
      <sz val="11"/>
      <color theme="0"/>
      <name val="Calibri"/>
      <family val="2"/>
      <scheme val="minor"/>
    </font>
    <font>
      <sz val="11"/>
      <color theme="0"/>
      <name val="Calibri"/>
      <family val="2"/>
      <scheme val="minor"/>
    </font>
    <font>
      <sz val="10"/>
      <color theme="0"/>
      <name val="Arial"/>
      <family val="2"/>
    </font>
    <font>
      <b/>
      <sz val="10"/>
      <name val="Calibri"/>
      <family val="2"/>
      <scheme val="minor"/>
    </font>
    <font>
      <b/>
      <sz val="10"/>
      <color theme="1"/>
      <name val="Calibri"/>
      <family val="2"/>
      <scheme val="minor"/>
    </font>
    <font>
      <sz val="10"/>
      <color theme="1"/>
      <name val="Calibri"/>
      <family val="2"/>
      <scheme val="minor"/>
    </font>
    <font>
      <b/>
      <sz val="11"/>
      <color rgb="FFC00000"/>
      <name val="Calibri"/>
      <family val="2"/>
      <scheme val="minor"/>
    </font>
    <font>
      <sz val="10"/>
      <name val="Arial"/>
    </font>
    <font>
      <b/>
      <u/>
      <sz val="11"/>
      <name val="Calibri"/>
      <family val="2"/>
      <scheme val="minor"/>
    </font>
    <font>
      <b/>
      <sz val="12"/>
      <name val="Calibri"/>
      <family val="2"/>
      <scheme val="minor"/>
    </font>
    <font>
      <b/>
      <sz val="12"/>
      <color theme="0"/>
      <name val="Calibri"/>
      <family val="2"/>
      <scheme val="minor"/>
    </font>
    <font>
      <b/>
      <sz val="11"/>
      <color theme="0"/>
      <name val="Calibri"/>
      <family val="2"/>
    </font>
    <font>
      <b/>
      <sz val="11"/>
      <color rgb="FF008000"/>
      <name val="Calibri"/>
      <family val="2"/>
    </font>
    <font>
      <b/>
      <sz val="12"/>
      <color theme="1"/>
      <name val="Calibri"/>
      <family val="2"/>
      <scheme val="minor"/>
    </font>
    <font>
      <b/>
      <i/>
      <sz val="11"/>
      <color theme="0" tint="-0.499984740745262"/>
      <name val="Calibri"/>
      <family val="2"/>
    </font>
    <font>
      <b/>
      <sz val="11"/>
      <color rgb="FF008000"/>
      <name val="Calibri"/>
      <family val="2"/>
      <scheme val="minor"/>
    </font>
    <font>
      <b/>
      <sz val="11"/>
      <color rgb="FF7030A0"/>
      <name val="Calibri"/>
      <family val="2"/>
      <scheme val="minor"/>
    </font>
    <font>
      <b/>
      <sz val="11"/>
      <color rgb="FFFF0000"/>
      <name val="Calibri"/>
      <family val="2"/>
      <scheme val="minor"/>
    </font>
    <font>
      <sz val="11"/>
      <color rgb="FF000000"/>
      <name val="Calibri"/>
      <family val="2"/>
    </font>
    <font>
      <sz val="10"/>
      <color theme="1"/>
      <name val="Tahoma"/>
      <family val="2"/>
    </font>
    <font>
      <sz val="7.7"/>
      <color theme="1"/>
      <name val="Verdana"/>
      <family val="2"/>
    </font>
    <font>
      <sz val="9.35"/>
      <color rgb="FF000000"/>
      <name val="Verdana"/>
      <family val="2"/>
    </font>
    <font>
      <sz val="40"/>
      <color theme="1"/>
      <name val="ARB3270"/>
      <family val="3"/>
    </font>
    <font>
      <sz val="24"/>
      <color theme="1"/>
      <name val="System"/>
      <family val="2"/>
    </font>
    <font>
      <sz val="11"/>
      <color theme="1"/>
      <name val="Courier"/>
      <family val="3"/>
    </font>
  </fonts>
  <fills count="3">
    <fill>
      <patternFill patternType="none"/>
    </fill>
    <fill>
      <patternFill patternType="gray125"/>
    </fill>
    <fill>
      <patternFill patternType="solid">
        <fgColor theme="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diagonal/>
    </border>
    <border>
      <left style="medium">
        <color indexed="64"/>
      </left>
      <right/>
      <top/>
      <bottom style="medium">
        <color indexed="64"/>
      </bottom>
      <diagonal/>
    </border>
    <border>
      <left style="thick">
        <color theme="0" tint="-0.499984740745262"/>
      </left>
      <right style="thick">
        <color theme="0" tint="-0.499984740745262"/>
      </right>
      <top style="thick">
        <color theme="0" tint="-0.499984740745262"/>
      </top>
      <bottom/>
      <diagonal/>
    </border>
    <border>
      <left style="thick">
        <color theme="0" tint="-0.499984740745262"/>
      </left>
      <right style="thick">
        <color theme="0" tint="-0.499984740745262"/>
      </right>
      <top/>
      <bottom/>
      <diagonal/>
    </border>
    <border>
      <left style="thick">
        <color theme="0" tint="-0.499984740745262"/>
      </left>
      <right style="thick">
        <color theme="0" tint="-0.499984740745262"/>
      </right>
      <top/>
      <bottom style="thick">
        <color theme="0" tint="-0.499984740745262"/>
      </bottom>
      <diagonal/>
    </border>
    <border>
      <left style="thick">
        <color theme="0" tint="-0.499984740745262"/>
      </left>
      <right/>
      <top/>
      <bottom style="thick">
        <color theme="0" tint="-0.499984740745262"/>
      </bottom>
      <diagonal/>
    </border>
    <border>
      <left style="thick">
        <color theme="0" tint="-0.499984740745262"/>
      </left>
      <right/>
      <top style="thick">
        <color theme="0" tint="-0.499984740745262"/>
      </top>
      <bottom style="thick">
        <color theme="0" tint="-0.499984740745262"/>
      </bottom>
      <diagonal/>
    </border>
    <border>
      <left/>
      <right style="thick">
        <color theme="0" tint="-0.499984740745262"/>
      </right>
      <top style="thick">
        <color theme="0" tint="-0.499984740745262"/>
      </top>
      <bottom style="thick">
        <color theme="0" tint="-0.499984740745262"/>
      </bottom>
      <diagonal/>
    </border>
  </borders>
  <cellStyleXfs count="3">
    <xf numFmtId="165" fontId="0" fillId="0" borderId="0"/>
    <xf numFmtId="165" fontId="1" fillId="0" borderId="0" applyNumberFormat="0" applyFill="0" applyBorder="0" applyAlignment="0" applyProtection="0">
      <alignment vertical="top"/>
      <protection locked="0"/>
    </xf>
    <xf numFmtId="165" fontId="14" fillId="0" borderId="0"/>
  </cellStyleXfs>
  <cellXfs count="127">
    <xf numFmtId="165" fontId="0" fillId="0" borderId="0" xfId="0"/>
    <xf numFmtId="165" fontId="2" fillId="0" borderId="0" xfId="0" applyFont="1" applyAlignment="1">
      <alignment horizontal="center"/>
    </xf>
    <xf numFmtId="165" fontId="0" fillId="0" borderId="0" xfId="0" applyAlignment="1">
      <alignment horizontal="left"/>
    </xf>
    <xf numFmtId="49" fontId="0" fillId="0" borderId="0" xfId="0" applyNumberFormat="1"/>
    <xf numFmtId="165" fontId="0" fillId="0" borderId="0" xfId="0" applyFont="1"/>
    <xf numFmtId="165" fontId="2" fillId="0" borderId="0" xfId="0" applyFont="1" applyAlignment="1">
      <alignment horizontal="left"/>
    </xf>
    <xf numFmtId="165" fontId="1" fillId="0" borderId="0" xfId="1" applyAlignment="1" applyProtection="1">
      <alignment horizontal="left"/>
    </xf>
    <xf numFmtId="165" fontId="2" fillId="0" borderId="0" xfId="0" applyFont="1"/>
    <xf numFmtId="165" fontId="0" fillId="0" borderId="0" xfId="0" applyFont="1"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49" fontId="0" fillId="0" borderId="0" xfId="0" applyNumberFormat="1" applyAlignment="1">
      <alignment horizontal="center"/>
    </xf>
    <xf numFmtId="49" fontId="0" fillId="0" borderId="0" xfId="0" applyNumberFormat="1" applyAlignment="1">
      <alignment vertical="top"/>
    </xf>
    <xf numFmtId="165" fontId="5" fillId="0" borderId="0" xfId="0" applyFont="1" applyAlignment="1" applyProtection="1">
      <alignment horizontal="center"/>
    </xf>
    <xf numFmtId="165" fontId="4" fillId="0" borderId="0" xfId="0" applyFont="1" applyAlignment="1" applyProtection="1">
      <alignment horizontal="center"/>
    </xf>
    <xf numFmtId="165" fontId="4" fillId="0" borderId="0" xfId="0" applyFont="1" applyProtection="1"/>
    <xf numFmtId="165" fontId="5" fillId="0" borderId="0" xfId="0" applyFont="1" applyAlignment="1" applyProtection="1">
      <alignment horizontal="left"/>
    </xf>
    <xf numFmtId="165" fontId="7" fillId="0" borderId="0" xfId="0" applyFont="1" applyAlignment="1" applyProtection="1">
      <alignment horizontal="center"/>
    </xf>
    <xf numFmtId="165" fontId="8" fillId="0" borderId="0" xfId="0" applyFont="1" applyAlignment="1" applyProtection="1">
      <alignment horizontal="center"/>
    </xf>
    <xf numFmtId="165" fontId="8" fillId="0" borderId="0" xfId="0" applyNumberFormat="1" applyFont="1" applyProtection="1"/>
    <xf numFmtId="165" fontId="8" fillId="0" borderId="0" xfId="0" applyFont="1" applyProtection="1"/>
    <xf numFmtId="165" fontId="8" fillId="0" borderId="0" xfId="0" applyFont="1" applyAlignment="1" applyProtection="1">
      <alignment horizontal="left"/>
    </xf>
    <xf numFmtId="49" fontId="8" fillId="0" borderId="0" xfId="0" applyNumberFormat="1" applyFont="1" applyAlignment="1" applyProtection="1">
      <alignment horizontal="left" wrapText="1"/>
    </xf>
    <xf numFmtId="165" fontId="9" fillId="0" borderId="0" xfId="0" applyFont="1" applyProtection="1"/>
    <xf numFmtId="165" fontId="4" fillId="0" borderId="0" xfId="0" applyFont="1" applyAlignment="1" applyProtection="1">
      <alignment horizontal="center"/>
      <protection locked="0"/>
    </xf>
    <xf numFmtId="165" fontId="7" fillId="0" borderId="0" xfId="0" applyFont="1" applyAlignment="1" applyProtection="1"/>
    <xf numFmtId="165" fontId="8" fillId="0" borderId="0" xfId="0" applyFont="1" applyAlignment="1" applyProtection="1"/>
    <xf numFmtId="165" fontId="8" fillId="0" borderId="0" xfId="0" applyNumberFormat="1" applyFont="1" applyAlignment="1" applyProtection="1"/>
    <xf numFmtId="165" fontId="9" fillId="0" borderId="0" xfId="0" applyFont="1" applyAlignment="1" applyProtection="1"/>
    <xf numFmtId="165" fontId="4" fillId="0" borderId="0" xfId="0" applyFont="1" applyProtection="1">
      <protection locked="0"/>
    </xf>
    <xf numFmtId="3" fontId="2" fillId="0" borderId="0" xfId="0" applyNumberFormat="1" applyFont="1" applyAlignment="1">
      <alignment horizontal="left"/>
    </xf>
    <xf numFmtId="3" fontId="0" fillId="0" borderId="0" xfId="0" applyNumberFormat="1" applyAlignment="1">
      <alignment horizontal="left"/>
    </xf>
    <xf numFmtId="3" fontId="0" fillId="0" borderId="0" xfId="0" applyNumberFormat="1" applyFont="1" applyAlignment="1">
      <alignment horizontal="left"/>
    </xf>
    <xf numFmtId="3" fontId="6" fillId="0" borderId="0" xfId="0" applyNumberFormat="1" applyFont="1" applyAlignment="1">
      <alignment horizontal="left"/>
    </xf>
    <xf numFmtId="3" fontId="0" fillId="0" borderId="0" xfId="0" applyNumberFormat="1"/>
    <xf numFmtId="165" fontId="2" fillId="0" borderId="0" xfId="0" applyNumberFormat="1" applyFont="1" applyFill="1" applyBorder="1" applyAlignment="1" applyProtection="1">
      <alignment horizontal="center"/>
      <protection locked="0"/>
    </xf>
    <xf numFmtId="165" fontId="2" fillId="0" borderId="0" xfId="0" applyNumberFormat="1" applyFont="1" applyFill="1" applyAlignment="1" applyProtection="1">
      <alignment horizontal="center"/>
      <protection locked="0"/>
    </xf>
    <xf numFmtId="165" fontId="0" fillId="0" borderId="0" xfId="0" applyNumberFormat="1" applyFill="1" applyProtection="1">
      <protection locked="0"/>
    </xf>
    <xf numFmtId="165" fontId="0" fillId="0" borderId="0" xfId="0" applyNumberFormat="1" applyFill="1" applyProtection="1"/>
    <xf numFmtId="165" fontId="0" fillId="0" borderId="0" xfId="0" applyNumberFormat="1" applyFill="1" applyAlignment="1" applyProtection="1">
      <alignment horizontal="center"/>
    </xf>
    <xf numFmtId="165" fontId="4" fillId="0" borderId="0" xfId="0" applyNumberFormat="1" applyFont="1" applyFill="1" applyProtection="1"/>
    <xf numFmtId="165" fontId="2" fillId="0" borderId="0" xfId="0" applyNumberFormat="1" applyFont="1" applyFill="1" applyProtection="1"/>
    <xf numFmtId="165" fontId="0" fillId="0" borderId="0" xfId="0" applyNumberFormat="1" applyFill="1" applyAlignment="1" applyProtection="1">
      <alignment horizontal="center"/>
      <protection locked="0"/>
    </xf>
    <xf numFmtId="165" fontId="11" fillId="0" borderId="0" xfId="0" applyNumberFormat="1" applyFont="1" applyAlignment="1">
      <alignment horizontal="left"/>
    </xf>
    <xf numFmtId="165" fontId="12" fillId="0" borderId="0" xfId="0" applyNumberFormat="1" applyFont="1"/>
    <xf numFmtId="165" fontId="11" fillId="0" borderId="0" xfId="0" applyNumberFormat="1" applyFont="1" applyBorder="1" applyAlignment="1">
      <alignment horizontal="left"/>
    </xf>
    <xf numFmtId="165" fontId="10" fillId="0" borderId="0" xfId="0" applyNumberFormat="1" applyFont="1" applyBorder="1"/>
    <xf numFmtId="165" fontId="0" fillId="0" borderId="0" xfId="0" applyNumberFormat="1" applyFill="1" applyAlignment="1" applyProtection="1">
      <alignment horizontal="left"/>
    </xf>
    <xf numFmtId="165" fontId="16" fillId="0" borderId="0" xfId="2" applyNumberFormat="1" applyFont="1" applyFill="1" applyBorder="1" applyAlignment="1" applyProtection="1">
      <alignment horizontal="center"/>
    </xf>
    <xf numFmtId="165" fontId="4" fillId="0" borderId="0" xfId="2" applyNumberFormat="1" applyFont="1" applyFill="1" applyBorder="1" applyProtection="1"/>
    <xf numFmtId="165" fontId="4" fillId="0" borderId="0" xfId="2" applyNumberFormat="1" applyFont="1" applyFill="1" applyBorder="1" applyAlignment="1" applyProtection="1">
      <alignment horizontal="center"/>
    </xf>
    <xf numFmtId="165" fontId="4" fillId="0" borderId="1" xfId="2" applyNumberFormat="1" applyFont="1" applyFill="1" applyBorder="1" applyProtection="1"/>
    <xf numFmtId="165" fontId="17" fillId="0" borderId="0" xfId="2" applyNumberFormat="1" applyFont="1" applyFill="1" applyBorder="1" applyAlignment="1" applyProtection="1">
      <alignment horizontal="right"/>
    </xf>
    <xf numFmtId="165" fontId="16" fillId="0" borderId="0" xfId="2" applyNumberFormat="1" applyFont="1" applyFill="1" applyBorder="1" applyAlignment="1" applyProtection="1"/>
    <xf numFmtId="165" fontId="16" fillId="0" borderId="0" xfId="2" applyNumberFormat="1" applyFont="1" applyFill="1" applyBorder="1" applyAlignment="1" applyProtection="1">
      <alignment horizontal="right"/>
    </xf>
    <xf numFmtId="165" fontId="15" fillId="0" borderId="0" xfId="2" applyNumberFormat="1" applyFont="1" applyFill="1" applyBorder="1" applyProtection="1"/>
    <xf numFmtId="165" fontId="15" fillId="0" borderId="0" xfId="2" applyNumberFormat="1" applyFont="1" applyFill="1" applyBorder="1" applyAlignment="1" applyProtection="1">
      <alignment horizontal="center"/>
    </xf>
    <xf numFmtId="49" fontId="4" fillId="0" borderId="0" xfId="2" applyNumberFormat="1" applyFont="1" applyFill="1" applyBorder="1" applyAlignment="1" applyProtection="1">
      <alignment horizontal="center"/>
      <protection locked="0"/>
    </xf>
    <xf numFmtId="165" fontId="8" fillId="0" borderId="0" xfId="2" applyNumberFormat="1" applyFont="1" applyFill="1" applyBorder="1" applyAlignment="1" applyProtection="1">
      <alignment horizontal="center"/>
    </xf>
    <xf numFmtId="165" fontId="8" fillId="0" borderId="0" xfId="2" applyNumberFormat="1" applyFont="1" applyFill="1" applyBorder="1" applyProtection="1"/>
    <xf numFmtId="165" fontId="0" fillId="0" borderId="0" xfId="0" applyNumberFormat="1" applyFill="1" applyProtection="1"/>
    <xf numFmtId="165" fontId="2" fillId="0" borderId="0" xfId="0" applyNumberFormat="1" applyFont="1" applyFill="1" applyProtection="1"/>
    <xf numFmtId="165" fontId="4" fillId="0" borderId="0" xfId="0" applyNumberFormat="1" applyFont="1" applyAlignment="1" applyProtection="1">
      <alignment horizontal="center"/>
      <protection locked="0"/>
    </xf>
    <xf numFmtId="165" fontId="18" fillId="2" borderId="7" xfId="0" applyFont="1" applyFill="1" applyBorder="1" applyAlignment="1" applyProtection="1">
      <alignment horizontal="center" vertical="center" wrapText="1"/>
    </xf>
    <xf numFmtId="165" fontId="18" fillId="2" borderId="8" xfId="0" applyFont="1" applyFill="1" applyBorder="1" applyAlignment="1" applyProtection="1">
      <alignment horizontal="center" vertical="center" wrapText="1"/>
    </xf>
    <xf numFmtId="165" fontId="2" fillId="2" borderId="0" xfId="0" applyFont="1" applyFill="1" applyProtection="1">
      <protection locked="0"/>
    </xf>
    <xf numFmtId="165" fontId="7" fillId="2" borderId="0" xfId="0" applyFont="1" applyFill="1" applyProtection="1">
      <protection locked="0"/>
    </xf>
    <xf numFmtId="165" fontId="18" fillId="2" borderId="2" xfId="0" applyFont="1" applyFill="1" applyBorder="1" applyAlignment="1" applyProtection="1">
      <alignment horizontal="center" vertical="center" wrapText="1"/>
      <protection locked="0"/>
    </xf>
    <xf numFmtId="165" fontId="7" fillId="2" borderId="9" xfId="0" applyFont="1" applyFill="1" applyBorder="1" applyProtection="1"/>
    <xf numFmtId="165" fontId="18" fillId="2" borderId="9" xfId="0" applyFont="1" applyFill="1" applyBorder="1" applyAlignment="1" applyProtection="1">
      <alignment vertical="center" wrapText="1"/>
    </xf>
    <xf numFmtId="165" fontId="7" fillId="2" borderId="9" xfId="0" applyFont="1" applyFill="1" applyBorder="1" applyAlignment="1" applyProtection="1">
      <alignment vertical="center" wrapText="1"/>
    </xf>
    <xf numFmtId="165" fontId="20" fillId="2" borderId="0" xfId="0" applyFont="1" applyFill="1" applyAlignment="1" applyProtection="1">
      <alignment vertical="center"/>
      <protection locked="0"/>
    </xf>
    <xf numFmtId="165" fontId="21" fillId="2" borderId="7" xfId="0" applyFont="1" applyFill="1" applyBorder="1" applyAlignment="1" applyProtection="1">
      <alignment horizontal="center" vertical="center" wrapText="1"/>
    </xf>
    <xf numFmtId="165" fontId="18" fillId="2" borderId="2" xfId="0" applyFont="1" applyFill="1" applyBorder="1" applyAlignment="1" applyProtection="1">
      <alignment horizontal="center" vertical="center" wrapText="1"/>
      <protection locked="0"/>
    </xf>
    <xf numFmtId="165" fontId="18" fillId="2" borderId="0" xfId="0" applyFont="1" applyFill="1" applyBorder="1" applyAlignment="1" applyProtection="1">
      <alignment vertical="center" wrapText="1"/>
      <protection locked="0"/>
    </xf>
    <xf numFmtId="165" fontId="4" fillId="0" borderId="0" xfId="0" applyNumberFormat="1" applyFont="1" applyAlignment="1" applyProtection="1">
      <alignment horizontal="center"/>
      <protection locked="0"/>
    </xf>
    <xf numFmtId="165" fontId="22" fillId="0" borderId="0" xfId="0" applyFont="1"/>
    <xf numFmtId="165" fontId="13" fillId="0" borderId="0" xfId="0" applyFont="1"/>
    <xf numFmtId="165" fontId="23" fillId="0" borderId="0" xfId="0" applyFont="1"/>
    <xf numFmtId="0" fontId="4" fillId="0" borderId="0" xfId="0" applyNumberFormat="1" applyFont="1" applyAlignment="1" applyProtection="1">
      <alignment horizontal="center"/>
      <protection locked="0"/>
    </xf>
    <xf numFmtId="0" fontId="0" fillId="0" borderId="0" xfId="0" applyNumberFormat="1" applyFill="1" applyProtection="1">
      <protection locked="0"/>
    </xf>
    <xf numFmtId="0" fontId="0" fillId="0" borderId="0" xfId="0" applyNumberFormat="1" applyFill="1" applyProtection="1"/>
    <xf numFmtId="0" fontId="2" fillId="0" borderId="0" xfId="0" applyNumberFormat="1" applyFont="1" applyFill="1" applyProtection="1"/>
    <xf numFmtId="0" fontId="0" fillId="0" borderId="0" xfId="0" applyNumberFormat="1" applyFill="1" applyAlignment="1" applyProtection="1">
      <alignment horizontal="left"/>
    </xf>
    <xf numFmtId="0" fontId="0" fillId="0" borderId="0" xfId="0" applyNumberFormat="1" applyFont="1" applyAlignment="1">
      <alignment horizontal="left"/>
    </xf>
    <xf numFmtId="49" fontId="2" fillId="0" borderId="0" xfId="0" applyNumberFormat="1" applyFont="1" applyAlignment="1">
      <alignment vertical="top"/>
    </xf>
    <xf numFmtId="49" fontId="2" fillId="0" borderId="0" xfId="0" applyNumberFormat="1" applyFont="1" applyAlignment="1">
      <alignment horizontal="center"/>
    </xf>
    <xf numFmtId="49" fontId="2" fillId="0" borderId="0" xfId="0" applyNumberFormat="1" applyFont="1"/>
    <xf numFmtId="49" fontId="24" fillId="0" borderId="0" xfId="0" applyNumberFormat="1" applyFont="1" applyAlignment="1">
      <alignment vertical="top"/>
    </xf>
    <xf numFmtId="49" fontId="24" fillId="0" borderId="0" xfId="0" applyNumberFormat="1" applyFont="1" applyAlignment="1">
      <alignment horizontal="center"/>
    </xf>
    <xf numFmtId="49" fontId="24" fillId="0" borderId="0" xfId="0" applyNumberFormat="1" applyFont="1"/>
    <xf numFmtId="165" fontId="24" fillId="0" borderId="0" xfId="0" applyFont="1"/>
    <xf numFmtId="165" fontId="25" fillId="0" borderId="0" xfId="0" applyFont="1" applyAlignment="1">
      <alignment vertical="center"/>
    </xf>
    <xf numFmtId="49" fontId="0" fillId="0" borderId="0" xfId="0" applyNumberFormat="1" applyFill="1" applyBorder="1"/>
    <xf numFmtId="49" fontId="2" fillId="0" borderId="0" xfId="0" applyNumberFormat="1" applyFont="1" applyFill="1" applyBorder="1"/>
    <xf numFmtId="165" fontId="26" fillId="0" borderId="0" xfId="0" applyFont="1"/>
    <xf numFmtId="165" fontId="27" fillId="0" borderId="0" xfId="0" applyFont="1"/>
    <xf numFmtId="165" fontId="28" fillId="0" borderId="0" xfId="0" applyFont="1"/>
    <xf numFmtId="49" fontId="0" fillId="0" borderId="0" xfId="0" applyNumberFormat="1" applyFont="1"/>
    <xf numFmtId="165" fontId="30" fillId="0" borderId="0" xfId="0" applyFont="1"/>
    <xf numFmtId="164" fontId="3" fillId="2" borderId="0" xfId="0" applyNumberFormat="1" applyFont="1" applyFill="1" applyAlignment="1">
      <alignment horizontal="center"/>
    </xf>
    <xf numFmtId="49" fontId="2" fillId="0" borderId="0" xfId="0" applyNumberFormat="1" applyFont="1" applyAlignment="1">
      <alignment horizontal="center" vertical="center"/>
    </xf>
    <xf numFmtId="165" fontId="29" fillId="0" borderId="0" xfId="0" applyFont="1" applyAlignment="1">
      <alignment horizontal="center" vertical="center"/>
    </xf>
    <xf numFmtId="0" fontId="2" fillId="0" borderId="0" xfId="0" applyNumberFormat="1" applyFont="1" applyFill="1" applyBorder="1" applyAlignment="1">
      <alignment horizontal="center" vertical="center"/>
    </xf>
    <xf numFmtId="165" fontId="2" fillId="0" borderId="0" xfId="0" applyNumberFormat="1" applyFont="1" applyFill="1" applyBorder="1" applyAlignment="1">
      <alignment horizontal="center" vertical="center"/>
    </xf>
    <xf numFmtId="165" fontId="2" fillId="0" borderId="0" xfId="0" applyNumberFormat="1" applyFont="1" applyFill="1" applyAlignment="1" applyProtection="1">
      <alignment horizontal="center"/>
    </xf>
    <xf numFmtId="165" fontId="4" fillId="0" borderId="0" xfId="0" applyFont="1" applyAlignment="1" applyProtection="1">
      <alignment horizontal="left"/>
      <protection locked="0"/>
    </xf>
    <xf numFmtId="165" fontId="4" fillId="0" borderId="0" xfId="0" applyFont="1" applyAlignment="1" applyProtection="1">
      <protection locked="0"/>
    </xf>
    <xf numFmtId="165" fontId="5" fillId="0" borderId="0" xfId="0" applyFont="1" applyAlignment="1" applyProtection="1">
      <alignment horizontal="left" vertical="top" wrapText="1"/>
    </xf>
    <xf numFmtId="165" fontId="4" fillId="0" borderId="0" xfId="0" applyNumberFormat="1" applyFont="1" applyAlignment="1" applyProtection="1">
      <alignment horizontal="left" vertical="top" wrapText="1"/>
      <protection locked="0"/>
    </xf>
    <xf numFmtId="165" fontId="18" fillId="2" borderId="4" xfId="0" applyFont="1" applyFill="1" applyBorder="1" applyAlignment="1" applyProtection="1">
      <alignment horizontal="center" vertical="center" wrapText="1"/>
      <protection locked="0"/>
    </xf>
    <xf numFmtId="165" fontId="18" fillId="2" borderId="8" xfId="0" applyFont="1" applyFill="1" applyBorder="1" applyAlignment="1" applyProtection="1">
      <alignment horizontal="center" vertical="center" wrapText="1"/>
    </xf>
    <xf numFmtId="165" fontId="18" fillId="2" borderId="9" xfId="0" applyFont="1" applyFill="1" applyBorder="1" applyAlignment="1" applyProtection="1">
      <alignment horizontal="center" vertical="center" wrapText="1"/>
    </xf>
    <xf numFmtId="165" fontId="18" fillId="2" borderId="7" xfId="0" applyFont="1" applyFill="1" applyBorder="1" applyAlignment="1" applyProtection="1">
      <alignment horizontal="center" vertical="center" wrapText="1"/>
    </xf>
    <xf numFmtId="165" fontId="13" fillId="2" borderId="11" xfId="0" applyFont="1" applyFill="1" applyBorder="1" applyAlignment="1" applyProtection="1">
      <alignment horizontal="center" vertical="center"/>
    </xf>
    <xf numFmtId="165" fontId="13" fillId="2" borderId="12" xfId="0" applyFont="1" applyFill="1" applyBorder="1" applyAlignment="1" applyProtection="1">
      <alignment horizontal="center" vertical="center"/>
    </xf>
    <xf numFmtId="165" fontId="18" fillId="2" borderId="6" xfId="0" applyFont="1" applyFill="1" applyBorder="1" applyAlignment="1" applyProtection="1">
      <alignment horizontal="center" vertical="center" wrapText="1"/>
      <protection locked="0"/>
    </xf>
    <xf numFmtId="165" fontId="18" fillId="2" borderId="5" xfId="0" applyFont="1" applyFill="1" applyBorder="1" applyAlignment="1" applyProtection="1">
      <alignment horizontal="center" vertical="center" wrapText="1"/>
      <protection locked="0"/>
    </xf>
    <xf numFmtId="165" fontId="18" fillId="2" borderId="2" xfId="0" applyFont="1" applyFill="1" applyBorder="1" applyAlignment="1" applyProtection="1">
      <alignment horizontal="center" vertical="center" wrapText="1"/>
      <protection locked="0"/>
    </xf>
    <xf numFmtId="165" fontId="18" fillId="2" borderId="3" xfId="0" applyFont="1" applyFill="1" applyBorder="1" applyAlignment="1" applyProtection="1">
      <alignment horizontal="center" vertical="center" wrapText="1"/>
      <protection locked="0"/>
    </xf>
    <xf numFmtId="165" fontId="13" fillId="2" borderId="7" xfId="0" applyFont="1" applyFill="1" applyBorder="1" applyAlignment="1" applyProtection="1">
      <alignment horizontal="center" vertical="center"/>
    </xf>
    <xf numFmtId="165" fontId="13" fillId="2" borderId="9" xfId="0" applyFont="1" applyFill="1" applyBorder="1" applyAlignment="1" applyProtection="1">
      <alignment horizontal="center" vertical="center"/>
    </xf>
    <xf numFmtId="165" fontId="19" fillId="2" borderId="7" xfId="0" applyFont="1" applyFill="1" applyBorder="1" applyAlignment="1" applyProtection="1">
      <alignment horizontal="center" vertical="center" wrapText="1"/>
    </xf>
    <xf numFmtId="165" fontId="19" fillId="2" borderId="8" xfId="0" applyFont="1" applyFill="1" applyBorder="1" applyAlignment="1" applyProtection="1">
      <alignment horizontal="center" vertical="center" wrapText="1"/>
    </xf>
    <xf numFmtId="165" fontId="19" fillId="2" borderId="10" xfId="0" applyFont="1" applyFill="1" applyBorder="1" applyAlignment="1" applyProtection="1">
      <alignment horizontal="center" vertical="center" wrapText="1"/>
    </xf>
    <xf numFmtId="165" fontId="4" fillId="0" borderId="0" xfId="2" applyNumberFormat="1" applyFont="1" applyFill="1" applyBorder="1" applyAlignment="1" applyProtection="1">
      <alignment horizontal="right"/>
    </xf>
    <xf numFmtId="49" fontId="31" fillId="0" borderId="0" xfId="0" applyNumberFormat="1" applyFont="1"/>
  </cellXfs>
  <cellStyles count="3">
    <cellStyle name="Hyperlink" xfId="1" builtinId="8"/>
    <cellStyle name="Normal" xfId="0" builtinId="0"/>
    <cellStyle name="Normal 2" xfId="2"/>
  </cellStyles>
  <dxfs count="9">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colors>
    <mruColors>
      <color rgb="FF008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2.emf"/><Relationship Id="rId3" Type="http://schemas.openxmlformats.org/officeDocument/2006/relationships/image" Target="../media/image6.emf"/><Relationship Id="rId7" Type="http://schemas.openxmlformats.org/officeDocument/2006/relationships/image" Target="../media/image10.emf"/><Relationship Id="rId12" Type="http://schemas.openxmlformats.org/officeDocument/2006/relationships/image" Target="../media/image14.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9.emf"/><Relationship Id="rId11" Type="http://schemas.openxmlformats.org/officeDocument/2006/relationships/image" Target="../media/image3.emf"/><Relationship Id="rId5" Type="http://schemas.openxmlformats.org/officeDocument/2006/relationships/image" Target="../media/image4.emf"/><Relationship Id="rId15" Type="http://schemas.openxmlformats.org/officeDocument/2006/relationships/image" Target="../media/image1.emf"/><Relationship Id="rId10" Type="http://schemas.openxmlformats.org/officeDocument/2006/relationships/image" Target="../media/image13.emf"/><Relationship Id="rId4" Type="http://schemas.openxmlformats.org/officeDocument/2006/relationships/image" Target="../media/image5.emf"/><Relationship Id="rId9" Type="http://schemas.openxmlformats.org/officeDocument/2006/relationships/image" Target="../media/image12.emf"/><Relationship Id="rId14"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 Id="rId5" Type="http://schemas.openxmlformats.org/officeDocument/2006/relationships/image" Target="../media/image23.emf"/><Relationship Id="rId4" Type="http://schemas.openxmlformats.org/officeDocument/2006/relationships/image" Target="../media/image2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 Id="rId5" Type="http://schemas.openxmlformats.org/officeDocument/2006/relationships/image" Target="../media/image28.emf"/><Relationship Id="rId4"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28575</xdr:rowOff>
        </xdr:from>
        <xdr:to>
          <xdr:col>4</xdr:col>
          <xdr:colOff>400050</xdr:colOff>
          <xdr:row>2</xdr:row>
          <xdr:rowOff>0</xdr:rowOff>
        </xdr:to>
        <xdr:sp macro="" textlink="">
          <xdr:nvSpPr>
            <xdr:cNvPr id="1026" name="CommandButton1"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361950</xdr:colOff>
          <xdr:row>0</xdr:row>
          <xdr:rowOff>28575</xdr:rowOff>
        </xdr:from>
        <xdr:to>
          <xdr:col>6</xdr:col>
          <xdr:colOff>114300</xdr:colOff>
          <xdr:row>2</xdr:row>
          <xdr:rowOff>0</xdr:rowOff>
        </xdr:to>
        <xdr:sp macro="" textlink="">
          <xdr:nvSpPr>
            <xdr:cNvPr id="1027" name="CommandButton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0</xdr:row>
          <xdr:rowOff>28575</xdr:rowOff>
        </xdr:from>
        <xdr:to>
          <xdr:col>4</xdr:col>
          <xdr:colOff>771525</xdr:colOff>
          <xdr:row>2</xdr:row>
          <xdr:rowOff>0</xdr:rowOff>
        </xdr:to>
        <xdr:sp macro="" textlink="">
          <xdr:nvSpPr>
            <xdr:cNvPr id="1028" name="CommandButton3"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1143000</xdr:colOff>
          <xdr:row>0</xdr:row>
          <xdr:rowOff>28575</xdr:rowOff>
        </xdr:from>
        <xdr:to>
          <xdr:col>4</xdr:col>
          <xdr:colOff>1504950</xdr:colOff>
          <xdr:row>2</xdr:row>
          <xdr:rowOff>0</xdr:rowOff>
        </xdr:to>
        <xdr:sp macro="" textlink="">
          <xdr:nvSpPr>
            <xdr:cNvPr id="1030" name="CommandButton4"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0</xdr:row>
          <xdr:rowOff>28575</xdr:rowOff>
        </xdr:from>
        <xdr:to>
          <xdr:col>0</xdr:col>
          <xdr:colOff>390525</xdr:colOff>
          <xdr:row>1</xdr:row>
          <xdr:rowOff>152400</xdr:rowOff>
        </xdr:to>
        <xdr:sp macro="" textlink="">
          <xdr:nvSpPr>
            <xdr:cNvPr id="1036" name="CommandButton5" hidden="1">
              <a:extLst>
                <a:ext uri="{63B3BB69-23CF-44E3-9099-C40C66FF867C}">
                  <a14:compatExt spid="_x0000_s1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552450</xdr:colOff>
          <xdr:row>0</xdr:row>
          <xdr:rowOff>28575</xdr:rowOff>
        </xdr:from>
        <xdr:to>
          <xdr:col>8</xdr:col>
          <xdr:colOff>304800</xdr:colOff>
          <xdr:row>2</xdr:row>
          <xdr:rowOff>0</xdr:rowOff>
        </xdr:to>
        <xdr:sp macro="" textlink="">
          <xdr:nvSpPr>
            <xdr:cNvPr id="1038" name="CommandButton6" hidden="1">
              <a:extLst>
                <a:ext uri="{63B3BB69-23CF-44E3-9099-C40C66FF867C}">
                  <a14:compatExt spid="_x0000_s1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2257425</xdr:colOff>
          <xdr:row>0</xdr:row>
          <xdr:rowOff>28575</xdr:rowOff>
        </xdr:from>
        <xdr:to>
          <xdr:col>4</xdr:col>
          <xdr:colOff>2619375</xdr:colOff>
          <xdr:row>2</xdr:row>
          <xdr:rowOff>0</xdr:rowOff>
        </xdr:to>
        <xdr:sp macro="" textlink="">
          <xdr:nvSpPr>
            <xdr:cNvPr id="1039" name="CommandButton7" hidden="1">
              <a:extLst>
                <a:ext uri="{63B3BB69-23CF-44E3-9099-C40C66FF867C}">
                  <a14:compatExt spid="_x0000_s1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1885950</xdr:colOff>
          <xdr:row>0</xdr:row>
          <xdr:rowOff>28575</xdr:rowOff>
        </xdr:from>
        <xdr:to>
          <xdr:col>4</xdr:col>
          <xdr:colOff>2247900</xdr:colOff>
          <xdr:row>2</xdr:row>
          <xdr:rowOff>0</xdr:rowOff>
        </xdr:to>
        <xdr:sp macro="" textlink="">
          <xdr:nvSpPr>
            <xdr:cNvPr id="1040" name="CommandButton8" hidden="1">
              <a:extLst>
                <a:ext uri="{63B3BB69-23CF-44E3-9099-C40C66FF867C}">
                  <a14:compatExt spid="_x0000_s1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180975</xdr:colOff>
          <xdr:row>0</xdr:row>
          <xdr:rowOff>28575</xdr:rowOff>
        </xdr:from>
        <xdr:to>
          <xdr:col>7</xdr:col>
          <xdr:colOff>542925</xdr:colOff>
          <xdr:row>2</xdr:row>
          <xdr:rowOff>0</xdr:rowOff>
        </xdr:to>
        <xdr:sp macro="" textlink="">
          <xdr:nvSpPr>
            <xdr:cNvPr id="1041" name="CommandButton9"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781050</xdr:colOff>
          <xdr:row>0</xdr:row>
          <xdr:rowOff>28575</xdr:rowOff>
        </xdr:from>
        <xdr:to>
          <xdr:col>4</xdr:col>
          <xdr:colOff>1143000</xdr:colOff>
          <xdr:row>2</xdr:row>
          <xdr:rowOff>0</xdr:rowOff>
        </xdr:to>
        <xdr:sp macro="" textlink="">
          <xdr:nvSpPr>
            <xdr:cNvPr id="1042" name="CommandButton10"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2990850</xdr:colOff>
          <xdr:row>0</xdr:row>
          <xdr:rowOff>28575</xdr:rowOff>
        </xdr:from>
        <xdr:to>
          <xdr:col>5</xdr:col>
          <xdr:colOff>352425</xdr:colOff>
          <xdr:row>2</xdr:row>
          <xdr:rowOff>0</xdr:rowOff>
        </xdr:to>
        <xdr:sp macro="" textlink="">
          <xdr:nvSpPr>
            <xdr:cNvPr id="1043" name="CommandButton11" hidden="1">
              <a:extLst>
                <a:ext uri="{63B3BB69-23CF-44E3-9099-C40C66FF867C}">
                  <a14:compatExt spid="_x0000_s1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1038225</xdr:colOff>
          <xdr:row>0</xdr:row>
          <xdr:rowOff>28575</xdr:rowOff>
        </xdr:from>
        <xdr:to>
          <xdr:col>1</xdr:col>
          <xdr:colOff>85725</xdr:colOff>
          <xdr:row>2</xdr:row>
          <xdr:rowOff>0</xdr:rowOff>
        </xdr:to>
        <xdr:sp macro="" textlink="">
          <xdr:nvSpPr>
            <xdr:cNvPr id="1044" name="CommandButton21"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123825</xdr:colOff>
          <xdr:row>0</xdr:row>
          <xdr:rowOff>28575</xdr:rowOff>
        </xdr:from>
        <xdr:to>
          <xdr:col>7</xdr:col>
          <xdr:colOff>180975</xdr:colOff>
          <xdr:row>2</xdr:row>
          <xdr:rowOff>0</xdr:rowOff>
        </xdr:to>
        <xdr:sp macro="" textlink="">
          <xdr:nvSpPr>
            <xdr:cNvPr id="1047" name="CommandButton12" hidden="1">
              <a:extLst>
                <a:ext uri="{63B3BB69-23CF-44E3-9099-C40C66FF867C}">
                  <a14:compatExt spid="_x0000_s10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2619375</xdr:colOff>
          <xdr:row>0</xdr:row>
          <xdr:rowOff>28575</xdr:rowOff>
        </xdr:from>
        <xdr:to>
          <xdr:col>4</xdr:col>
          <xdr:colOff>2981325</xdr:colOff>
          <xdr:row>2</xdr:row>
          <xdr:rowOff>0</xdr:rowOff>
        </xdr:to>
        <xdr:sp macro="" textlink="">
          <xdr:nvSpPr>
            <xdr:cNvPr id="1048" name="CommandButton13" hidden="1">
              <a:extLst>
                <a:ext uri="{63B3BB69-23CF-44E3-9099-C40C66FF867C}">
                  <a14:compatExt spid="_x0000_s10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1514475</xdr:colOff>
          <xdr:row>0</xdr:row>
          <xdr:rowOff>28575</xdr:rowOff>
        </xdr:from>
        <xdr:to>
          <xdr:col>4</xdr:col>
          <xdr:colOff>1876425</xdr:colOff>
          <xdr:row>2</xdr:row>
          <xdr:rowOff>0</xdr:rowOff>
        </xdr:to>
        <xdr:sp macro="" textlink="">
          <xdr:nvSpPr>
            <xdr:cNvPr id="1050" name="CommandButton14" hidden="1">
              <a:extLst>
                <a:ext uri="{63B3BB69-23CF-44E3-9099-C40C66FF867C}">
                  <a14:compatExt spid="_x0000_s1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19050</xdr:rowOff>
        </xdr:from>
        <xdr:to>
          <xdr:col>1</xdr:col>
          <xdr:colOff>1485900</xdr:colOff>
          <xdr:row>4</xdr:row>
          <xdr:rowOff>9525</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295275</xdr:colOff>
          <xdr:row>4</xdr:row>
          <xdr:rowOff>95250</xdr:rowOff>
        </xdr:from>
        <xdr:to>
          <xdr:col>1</xdr:col>
          <xdr:colOff>1485900</xdr:colOff>
          <xdr:row>7</xdr:row>
          <xdr:rowOff>85725</xdr:rowOff>
        </xdr:to>
        <xdr:sp macro="" textlink="">
          <xdr:nvSpPr>
            <xdr:cNvPr id="3076" name="CommandButton2" hidden="1">
              <a:extLst>
                <a:ext uri="{63B3BB69-23CF-44E3-9099-C40C66FF867C}">
                  <a14:compatExt spid="_x0000_s3076"/>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1895475</xdr:colOff>
          <xdr:row>0</xdr:row>
          <xdr:rowOff>9525</xdr:rowOff>
        </xdr:from>
        <xdr:to>
          <xdr:col>4</xdr:col>
          <xdr:colOff>2257425</xdr:colOff>
          <xdr:row>1</xdr:row>
          <xdr:rowOff>180975</xdr:rowOff>
        </xdr:to>
        <xdr:sp macro="" textlink="">
          <xdr:nvSpPr>
            <xdr:cNvPr id="9217" name="CommandButton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533400</xdr:colOff>
          <xdr:row>3</xdr:row>
          <xdr:rowOff>114300</xdr:rowOff>
        </xdr:from>
        <xdr:to>
          <xdr:col>6</xdr:col>
          <xdr:colOff>438150</xdr:colOff>
          <xdr:row>6</xdr:row>
          <xdr:rowOff>133350</xdr:rowOff>
        </xdr:to>
        <xdr:sp macro="" textlink="">
          <xdr:nvSpPr>
            <xdr:cNvPr id="16385" name="CommandButton1" hidden="1">
              <a:extLst>
                <a:ext uri="{63B3BB69-23CF-44E3-9099-C40C66FF867C}">
                  <a14:compatExt spid="_x0000_s163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4</xdr:row>
          <xdr:rowOff>66675</xdr:rowOff>
        </xdr:from>
        <xdr:to>
          <xdr:col>4</xdr:col>
          <xdr:colOff>247650</xdr:colOff>
          <xdr:row>6</xdr:row>
          <xdr:rowOff>133350</xdr:rowOff>
        </xdr:to>
        <xdr:sp macro="" textlink="">
          <xdr:nvSpPr>
            <xdr:cNvPr id="16386" name="CommandButton4" hidden="1">
              <a:extLst>
                <a:ext uri="{63B3BB69-23CF-44E3-9099-C40C66FF867C}">
                  <a14:compatExt spid="_x0000_s163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2</xdr:row>
          <xdr:rowOff>38100</xdr:rowOff>
        </xdr:from>
        <xdr:to>
          <xdr:col>1</xdr:col>
          <xdr:colOff>685800</xdr:colOff>
          <xdr:row>3</xdr:row>
          <xdr:rowOff>161925</xdr:rowOff>
        </xdr:to>
        <xdr:sp macro="" textlink="">
          <xdr:nvSpPr>
            <xdr:cNvPr id="16387" name="CommandButton2" hidden="1">
              <a:extLst>
                <a:ext uri="{63B3BB69-23CF-44E3-9099-C40C66FF867C}">
                  <a14:compatExt spid="_x0000_s163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2</xdr:row>
          <xdr:rowOff>38100</xdr:rowOff>
        </xdr:from>
        <xdr:to>
          <xdr:col>3</xdr:col>
          <xdr:colOff>685800</xdr:colOff>
          <xdr:row>3</xdr:row>
          <xdr:rowOff>161925</xdr:rowOff>
        </xdr:to>
        <xdr:sp macro="" textlink="">
          <xdr:nvSpPr>
            <xdr:cNvPr id="16388" name="CommandButton3" hidden="1">
              <a:extLst>
                <a:ext uri="{63B3BB69-23CF-44E3-9099-C40C66FF867C}">
                  <a14:compatExt spid="_x0000_s163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xdr:row>
          <xdr:rowOff>38100</xdr:rowOff>
        </xdr:from>
        <xdr:to>
          <xdr:col>2</xdr:col>
          <xdr:colOff>685800</xdr:colOff>
          <xdr:row>3</xdr:row>
          <xdr:rowOff>161925</xdr:rowOff>
        </xdr:to>
        <xdr:sp macro="" textlink="">
          <xdr:nvSpPr>
            <xdr:cNvPr id="16413" name="CommandButton5" hidden="1">
              <a:extLst>
                <a:ext uri="{63B3BB69-23CF-44E3-9099-C40C66FF867C}">
                  <a14:compatExt spid="_x0000_s1641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428625</xdr:colOff>
          <xdr:row>1</xdr:row>
          <xdr:rowOff>200025</xdr:rowOff>
        </xdr:from>
        <xdr:to>
          <xdr:col>10</xdr:col>
          <xdr:colOff>180975</xdr:colOff>
          <xdr:row>3</xdr:row>
          <xdr:rowOff>142875</xdr:rowOff>
        </xdr:to>
        <xdr:sp macro="" textlink="">
          <xdr:nvSpPr>
            <xdr:cNvPr id="24580" name="CommandButton21" hidden="1">
              <a:extLst>
                <a:ext uri="{63B3BB69-23CF-44E3-9099-C40C66FF867C}">
                  <a14:compatExt spid="_x0000_s24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428625</xdr:colOff>
          <xdr:row>4</xdr:row>
          <xdr:rowOff>76200</xdr:rowOff>
        </xdr:from>
        <xdr:to>
          <xdr:col>10</xdr:col>
          <xdr:colOff>180975</xdr:colOff>
          <xdr:row>6</xdr:row>
          <xdr:rowOff>19050</xdr:rowOff>
        </xdr:to>
        <xdr:sp macro="" textlink="">
          <xdr:nvSpPr>
            <xdr:cNvPr id="24581" name="CommandButton22" hidden="1">
              <a:extLst>
                <a:ext uri="{63B3BB69-23CF-44E3-9099-C40C66FF867C}">
                  <a14:compatExt spid="_x0000_s24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428625</xdr:colOff>
          <xdr:row>9</xdr:row>
          <xdr:rowOff>38100</xdr:rowOff>
        </xdr:from>
        <xdr:to>
          <xdr:col>10</xdr:col>
          <xdr:colOff>180975</xdr:colOff>
          <xdr:row>11</xdr:row>
          <xdr:rowOff>9525</xdr:rowOff>
        </xdr:to>
        <xdr:sp macro="" textlink="">
          <xdr:nvSpPr>
            <xdr:cNvPr id="24582" name="CommandButton23" hidden="1">
              <a:extLst>
                <a:ext uri="{63B3BB69-23CF-44E3-9099-C40C66FF867C}">
                  <a14:compatExt spid="_x0000_s245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428625</xdr:colOff>
          <xdr:row>6</xdr:row>
          <xdr:rowOff>161925</xdr:rowOff>
        </xdr:from>
        <xdr:to>
          <xdr:col>10</xdr:col>
          <xdr:colOff>180975</xdr:colOff>
          <xdr:row>8</xdr:row>
          <xdr:rowOff>104775</xdr:rowOff>
        </xdr:to>
        <xdr:sp macro="" textlink="">
          <xdr:nvSpPr>
            <xdr:cNvPr id="24583" name="CommandButton24" hidden="1">
              <a:extLst>
                <a:ext uri="{63B3BB69-23CF-44E3-9099-C40C66FF867C}">
                  <a14:compatExt spid="_x0000_s24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104775</xdr:colOff>
          <xdr:row>3</xdr:row>
          <xdr:rowOff>9525</xdr:rowOff>
        </xdr:from>
        <xdr:to>
          <xdr:col>1</xdr:col>
          <xdr:colOff>466725</xdr:colOff>
          <xdr:row>4</xdr:row>
          <xdr:rowOff>161925</xdr:rowOff>
        </xdr:to>
        <xdr:sp macro="" textlink="">
          <xdr:nvSpPr>
            <xdr:cNvPr id="24584" name="CommandButton25" hidden="1">
              <a:extLst>
                <a:ext uri="{63B3BB69-23CF-44E3-9099-C40C66FF867C}">
                  <a14:compatExt spid="_x0000_s24584"/>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323850</xdr:colOff>
          <xdr:row>0</xdr:row>
          <xdr:rowOff>47625</xdr:rowOff>
        </xdr:from>
        <xdr:to>
          <xdr:col>6</xdr:col>
          <xdr:colOff>0</xdr:colOff>
          <xdr:row>2</xdr:row>
          <xdr:rowOff>104775</xdr:rowOff>
        </xdr:to>
        <xdr:sp macro="" textlink="">
          <xdr:nvSpPr>
            <xdr:cNvPr id="22529" name="CommandButton1" hidden="1">
              <a:extLst>
                <a:ext uri="{63B3BB69-23CF-44E3-9099-C40C66FF867C}">
                  <a14:compatExt spid="_x0000_s22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2</xdr:row>
          <xdr:rowOff>180975</xdr:rowOff>
        </xdr:from>
        <xdr:to>
          <xdr:col>6</xdr:col>
          <xdr:colOff>0</xdr:colOff>
          <xdr:row>5</xdr:row>
          <xdr:rowOff>57150</xdr:rowOff>
        </xdr:to>
        <xdr:sp macro="" textlink="">
          <xdr:nvSpPr>
            <xdr:cNvPr id="22530" name="CommandButton2" hidden="1">
              <a:extLst>
                <a:ext uri="{63B3BB69-23CF-44E3-9099-C40C66FF867C}">
                  <a14:compatExt spid="_x0000_s2253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1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17.xml"/><Relationship Id="rId5" Type="http://schemas.openxmlformats.org/officeDocument/2006/relationships/image" Target="../media/image16.emf"/><Relationship Id="rId4" Type="http://schemas.openxmlformats.org/officeDocument/2006/relationships/control" Target="../activeX/activeX16.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zitwassup/"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18.emf"/><Relationship Id="rId4" Type="http://schemas.openxmlformats.org/officeDocument/2006/relationships/control" Target="../activeX/activeX18.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1.xml"/><Relationship Id="rId13" Type="http://schemas.openxmlformats.org/officeDocument/2006/relationships/image" Target="../media/image23.emf"/><Relationship Id="rId3" Type="http://schemas.openxmlformats.org/officeDocument/2006/relationships/vmlDrawing" Target="../drawings/vmlDrawing4.vml"/><Relationship Id="rId7" Type="http://schemas.openxmlformats.org/officeDocument/2006/relationships/image" Target="../media/image20.emf"/><Relationship Id="rId12" Type="http://schemas.openxmlformats.org/officeDocument/2006/relationships/control" Target="../activeX/activeX2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20.xml"/><Relationship Id="rId11" Type="http://schemas.openxmlformats.org/officeDocument/2006/relationships/image" Target="../media/image22.emf"/><Relationship Id="rId5" Type="http://schemas.openxmlformats.org/officeDocument/2006/relationships/image" Target="../media/image19.emf"/><Relationship Id="rId10" Type="http://schemas.openxmlformats.org/officeDocument/2006/relationships/control" Target="../activeX/activeX22.xml"/><Relationship Id="rId4" Type="http://schemas.openxmlformats.org/officeDocument/2006/relationships/control" Target="../activeX/activeX19.xml"/><Relationship Id="rId9" Type="http://schemas.openxmlformats.org/officeDocument/2006/relationships/image" Target="../media/image21.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28.emf"/><Relationship Id="rId3" Type="http://schemas.openxmlformats.org/officeDocument/2006/relationships/vmlDrawing" Target="../drawings/vmlDrawing5.vml"/><Relationship Id="rId7" Type="http://schemas.openxmlformats.org/officeDocument/2006/relationships/image" Target="../media/image25.emf"/><Relationship Id="rId12" Type="http://schemas.openxmlformats.org/officeDocument/2006/relationships/control" Target="../activeX/activeX28.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25.xml"/><Relationship Id="rId11" Type="http://schemas.openxmlformats.org/officeDocument/2006/relationships/image" Target="../media/image27.emf"/><Relationship Id="rId5" Type="http://schemas.openxmlformats.org/officeDocument/2006/relationships/image" Target="../media/image24.emf"/><Relationship Id="rId10" Type="http://schemas.openxmlformats.org/officeDocument/2006/relationships/control" Target="../activeX/activeX27.xml"/><Relationship Id="rId4" Type="http://schemas.openxmlformats.org/officeDocument/2006/relationships/control" Target="../activeX/activeX24.xml"/><Relationship Id="rId9" Type="http://schemas.openxmlformats.org/officeDocument/2006/relationships/image" Target="../media/image26.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30.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30.xml"/><Relationship Id="rId5" Type="http://schemas.openxmlformats.org/officeDocument/2006/relationships/image" Target="../media/image29.emf"/><Relationship Id="rId4" Type="http://schemas.openxmlformats.org/officeDocument/2006/relationships/control" Target="../activeX/activeX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pageSetUpPr autoPageBreaks="0"/>
  </sheetPr>
  <dimension ref="A1:F1335"/>
  <sheetViews>
    <sheetView tabSelected="1" zoomScaleNormal="100" workbookViewId="0">
      <pane ySplit="2" topLeftCell="A1321" activePane="bottomLeft" state="frozen"/>
      <selection activeCell="N19" sqref="N19"/>
      <selection pane="bottomLeft" activeCell="C1334" sqref="C1334"/>
    </sheetView>
  </sheetViews>
  <sheetFormatPr defaultRowHeight="15"/>
  <cols>
    <col min="1" max="1" width="21.140625" style="12" customWidth="1"/>
    <col min="2" max="2" width="10.140625" style="11" customWidth="1"/>
    <col min="3" max="3" width="11.85546875" style="3" customWidth="1"/>
    <col min="4" max="4" width="12.42578125" style="3" customWidth="1"/>
    <col min="5" max="5" width="45" style="3" customWidth="1"/>
  </cols>
  <sheetData>
    <row r="1" spans="1:5" s="1" customFormat="1">
      <c r="A1" s="101" t="s">
        <v>0</v>
      </c>
      <c r="B1" s="101" t="s">
        <v>127</v>
      </c>
      <c r="C1" s="101" t="s">
        <v>1</v>
      </c>
      <c r="D1" s="101" t="s">
        <v>2</v>
      </c>
      <c r="E1" s="101"/>
    </row>
    <row r="2" spans="1:5">
      <c r="A2" s="101"/>
      <c r="B2" s="101"/>
      <c r="C2" s="101"/>
      <c r="D2" s="101"/>
      <c r="E2" s="101"/>
    </row>
    <row r="3" spans="1:5" ht="21">
      <c r="A3" s="100">
        <v>42370</v>
      </c>
      <c r="B3" s="100"/>
      <c r="C3" s="100"/>
      <c r="D3" s="100"/>
      <c r="E3" s="100"/>
    </row>
    <row r="4" spans="1:5">
      <c r="A4" s="12" t="s">
        <v>413</v>
      </c>
      <c r="B4" s="11" t="s">
        <v>412</v>
      </c>
      <c r="C4" s="3" t="s">
        <v>386</v>
      </c>
    </row>
    <row r="5" spans="1:5">
      <c r="A5" s="12" t="s">
        <v>424</v>
      </c>
      <c r="B5" s="11" t="s">
        <v>423</v>
      </c>
      <c r="C5" s="3" t="s">
        <v>422</v>
      </c>
    </row>
    <row r="6" spans="1:5">
      <c r="A6" s="12" t="s">
        <v>391</v>
      </c>
      <c r="B6" s="11" t="s">
        <v>390</v>
      </c>
      <c r="C6" s="3" t="s">
        <v>425</v>
      </c>
    </row>
    <row r="7" spans="1:5">
      <c r="A7" s="12" t="s">
        <v>391</v>
      </c>
      <c r="B7" s="11" t="s">
        <v>390</v>
      </c>
      <c r="C7" s="3" t="s">
        <v>426</v>
      </c>
    </row>
    <row r="8" spans="1:5">
      <c r="A8" s="12" t="s">
        <v>389</v>
      </c>
      <c r="B8" s="11" t="s">
        <v>388</v>
      </c>
      <c r="C8" s="3" t="s">
        <v>387</v>
      </c>
    </row>
    <row r="9" spans="1:5">
      <c r="A9" s="12" t="s">
        <v>405</v>
      </c>
      <c r="B9" s="11" t="s">
        <v>404</v>
      </c>
      <c r="C9" s="3" t="s">
        <v>403</v>
      </c>
    </row>
    <row r="10" spans="1:5">
      <c r="A10" s="12" t="s">
        <v>374</v>
      </c>
      <c r="B10" s="11" t="s">
        <v>373</v>
      </c>
      <c r="C10" s="3" t="s">
        <v>399</v>
      </c>
    </row>
    <row r="11" spans="1:5">
      <c r="A11" s="12" t="s">
        <v>398</v>
      </c>
      <c r="B11" s="11" t="s">
        <v>397</v>
      </c>
      <c r="C11" s="3" t="s">
        <v>396</v>
      </c>
    </row>
    <row r="12" spans="1:5">
      <c r="A12" s="12" t="s">
        <v>402</v>
      </c>
      <c r="B12" s="11" t="s">
        <v>401</v>
      </c>
      <c r="C12" s="3" t="s">
        <v>400</v>
      </c>
    </row>
    <row r="13" spans="1:5">
      <c r="A13" s="12" t="s">
        <v>395</v>
      </c>
      <c r="B13" s="11" t="s">
        <v>394</v>
      </c>
      <c r="C13" s="3" t="s">
        <v>393</v>
      </c>
    </row>
    <row r="14" spans="1:5">
      <c r="A14" s="12" t="s">
        <v>429</v>
      </c>
      <c r="B14" s="11" t="s">
        <v>428</v>
      </c>
      <c r="C14" s="3" t="s">
        <v>427</v>
      </c>
    </row>
    <row r="15" spans="1:5">
      <c r="A15" s="12" t="s">
        <v>432</v>
      </c>
      <c r="B15" s="11" t="s">
        <v>431</v>
      </c>
      <c r="C15" s="3" t="s">
        <v>430</v>
      </c>
    </row>
    <row r="16" spans="1:5">
      <c r="A16" s="12" t="s">
        <v>407</v>
      </c>
      <c r="B16" s="11" t="s">
        <v>406</v>
      </c>
      <c r="C16" s="3" t="s">
        <v>384</v>
      </c>
    </row>
    <row r="17" spans="1:5" ht="21">
      <c r="A17" s="100">
        <v>42372</v>
      </c>
      <c r="B17" s="100"/>
      <c r="C17" s="100"/>
      <c r="D17" s="100"/>
      <c r="E17" s="100"/>
    </row>
    <row r="18" spans="1:5">
      <c r="A18" s="12" t="s">
        <v>435</v>
      </c>
      <c r="B18" s="11" t="s">
        <v>434</v>
      </c>
      <c r="C18" s="3" t="s">
        <v>433</v>
      </c>
    </row>
    <row r="19" spans="1:5">
      <c r="A19" s="12" t="s">
        <v>438</v>
      </c>
      <c r="B19" s="11" t="s">
        <v>437</v>
      </c>
      <c r="C19" s="3" t="s">
        <v>436</v>
      </c>
    </row>
    <row r="20" spans="1:5">
      <c r="A20" s="12" t="s">
        <v>395</v>
      </c>
      <c r="B20" s="11" t="s">
        <v>394</v>
      </c>
      <c r="C20" s="3" t="s">
        <v>393</v>
      </c>
    </row>
    <row r="21" spans="1:5">
      <c r="A21" s="12" t="s">
        <v>441</v>
      </c>
      <c r="B21" s="11" t="s">
        <v>440</v>
      </c>
      <c r="C21" s="3" t="s">
        <v>439</v>
      </c>
    </row>
    <row r="22" spans="1:5">
      <c r="A22" s="12" t="s">
        <v>444</v>
      </c>
      <c r="B22" s="11" t="s">
        <v>443</v>
      </c>
      <c r="C22" s="3" t="s">
        <v>442</v>
      </c>
    </row>
    <row r="23" spans="1:5">
      <c r="A23" s="12" t="s">
        <v>447</v>
      </c>
      <c r="B23" s="11" t="s">
        <v>446</v>
      </c>
      <c r="C23" s="3" t="s">
        <v>445</v>
      </c>
    </row>
    <row r="24" spans="1:5">
      <c r="A24" s="12" t="s">
        <v>402</v>
      </c>
      <c r="B24" s="11" t="s">
        <v>401</v>
      </c>
      <c r="C24" s="3" t="s">
        <v>400</v>
      </c>
    </row>
    <row r="25" spans="1:5">
      <c r="A25" s="12" t="s">
        <v>450</v>
      </c>
      <c r="B25" s="11" t="s">
        <v>449</v>
      </c>
      <c r="C25" s="3" t="s">
        <v>448</v>
      </c>
    </row>
    <row r="26" spans="1:5">
      <c r="A26" s="12" t="s">
        <v>453</v>
      </c>
      <c r="B26" s="11" t="s">
        <v>452</v>
      </c>
      <c r="C26" s="3" t="s">
        <v>451</v>
      </c>
    </row>
    <row r="27" spans="1:5" ht="21">
      <c r="A27" s="100">
        <v>42373</v>
      </c>
      <c r="B27" s="100"/>
      <c r="C27" s="100"/>
      <c r="D27" s="100"/>
      <c r="E27" s="100"/>
    </row>
    <row r="28" spans="1:5">
      <c r="A28" s="12" t="s">
        <v>455</v>
      </c>
      <c r="B28" s="11" t="s">
        <v>454</v>
      </c>
      <c r="C28" s="3" t="s">
        <v>455</v>
      </c>
    </row>
    <row r="29" spans="1:5">
      <c r="A29" s="12" t="s">
        <v>458</v>
      </c>
      <c r="B29" s="11" t="s">
        <v>457</v>
      </c>
      <c r="C29" s="3" t="s">
        <v>456</v>
      </c>
    </row>
    <row r="30" spans="1:5">
      <c r="A30" s="12" t="s">
        <v>461</v>
      </c>
      <c r="B30" s="11" t="s">
        <v>460</v>
      </c>
      <c r="C30" s="3" t="s">
        <v>459</v>
      </c>
    </row>
    <row r="31" spans="1:5">
      <c r="A31" s="12" t="s">
        <v>464</v>
      </c>
      <c r="B31" s="11" t="s">
        <v>463</v>
      </c>
      <c r="C31" s="3" t="s">
        <v>462</v>
      </c>
    </row>
    <row r="32" spans="1:5">
      <c r="A32" s="12" t="s">
        <v>467</v>
      </c>
      <c r="B32" s="11" t="s">
        <v>466</v>
      </c>
      <c r="C32" s="3" t="s">
        <v>465</v>
      </c>
    </row>
    <row r="33" spans="1:4">
      <c r="A33" s="12" t="s">
        <v>470</v>
      </c>
      <c r="B33" s="11" t="s">
        <v>469</v>
      </c>
      <c r="C33" s="3" t="s">
        <v>468</v>
      </c>
    </row>
    <row r="34" spans="1:4">
      <c r="A34" s="12" t="s">
        <v>473</v>
      </c>
      <c r="B34" s="11" t="s">
        <v>472</v>
      </c>
      <c r="C34" s="3" t="s">
        <v>471</v>
      </c>
    </row>
    <row r="35" spans="1:4">
      <c r="A35" s="12" t="s">
        <v>476</v>
      </c>
      <c r="B35" s="11" t="s">
        <v>475</v>
      </c>
      <c r="C35" s="3" t="s">
        <v>474</v>
      </c>
    </row>
    <row r="36" spans="1:4">
      <c r="A36" s="12" t="s">
        <v>479</v>
      </c>
      <c r="B36" s="11" t="s">
        <v>478</v>
      </c>
      <c r="C36" s="3" t="s">
        <v>477</v>
      </c>
    </row>
    <row r="37" spans="1:4">
      <c r="A37" s="12" t="s">
        <v>482</v>
      </c>
      <c r="B37" s="11" t="s">
        <v>481</v>
      </c>
      <c r="C37" s="3" t="s">
        <v>480</v>
      </c>
    </row>
    <row r="38" spans="1:4">
      <c r="A38" s="12" t="s">
        <v>485</v>
      </c>
      <c r="B38" s="11" t="s">
        <v>484</v>
      </c>
      <c r="C38" s="3" t="s">
        <v>483</v>
      </c>
    </row>
    <row r="39" spans="1:4">
      <c r="A39" s="12" t="s">
        <v>488</v>
      </c>
      <c r="B39" s="11" t="s">
        <v>487</v>
      </c>
      <c r="C39" s="3" t="s">
        <v>486</v>
      </c>
    </row>
    <row r="40" spans="1:4">
      <c r="A40" s="12" t="s">
        <v>491</v>
      </c>
      <c r="B40" s="11" t="s">
        <v>490</v>
      </c>
      <c r="C40" s="3" t="s">
        <v>489</v>
      </c>
    </row>
    <row r="41" spans="1:4">
      <c r="A41" s="12" t="s">
        <v>494</v>
      </c>
      <c r="B41" s="11" t="s">
        <v>493</v>
      </c>
      <c r="C41" s="3" t="s">
        <v>492</v>
      </c>
    </row>
    <row r="42" spans="1:4">
      <c r="A42" s="12" t="s">
        <v>497</v>
      </c>
      <c r="B42" s="11" t="s">
        <v>496</v>
      </c>
      <c r="C42" s="3" t="s">
        <v>495</v>
      </c>
    </row>
    <row r="43" spans="1:4">
      <c r="A43" s="12" t="s">
        <v>500</v>
      </c>
      <c r="B43" s="11" t="s">
        <v>499</v>
      </c>
      <c r="C43" s="3" t="s">
        <v>498</v>
      </c>
      <c r="D43" s="3" t="s">
        <v>501</v>
      </c>
    </row>
    <row r="44" spans="1:4">
      <c r="A44" s="12" t="s">
        <v>500</v>
      </c>
      <c r="B44" s="11" t="s">
        <v>499</v>
      </c>
      <c r="C44" s="3" t="s">
        <v>502</v>
      </c>
      <c r="D44" s="3" t="s">
        <v>505</v>
      </c>
    </row>
    <row r="45" spans="1:4">
      <c r="A45" s="12" t="s">
        <v>500</v>
      </c>
      <c r="B45" s="11" t="s">
        <v>499</v>
      </c>
      <c r="C45" s="3" t="s">
        <v>503</v>
      </c>
    </row>
    <row r="46" spans="1:4">
      <c r="A46" s="12" t="s">
        <v>500</v>
      </c>
      <c r="B46" s="11" t="s">
        <v>499</v>
      </c>
      <c r="C46" s="3" t="s">
        <v>504</v>
      </c>
    </row>
    <row r="47" spans="1:4">
      <c r="A47" s="12" t="s">
        <v>508</v>
      </c>
      <c r="B47" s="11" t="s">
        <v>507</v>
      </c>
      <c r="C47" s="3" t="s">
        <v>506</v>
      </c>
    </row>
    <row r="48" spans="1:4">
      <c r="A48" s="12" t="s">
        <v>511</v>
      </c>
      <c r="B48" s="11" t="s">
        <v>509</v>
      </c>
      <c r="C48" s="3" t="s">
        <v>510</v>
      </c>
    </row>
    <row r="49" spans="1:5" ht="21">
      <c r="A49" s="100">
        <v>42374</v>
      </c>
      <c r="B49" s="100"/>
      <c r="C49" s="100"/>
      <c r="D49" s="100"/>
      <c r="E49" s="100"/>
    </row>
    <row r="50" spans="1:5">
      <c r="A50" s="12" t="s">
        <v>514</v>
      </c>
      <c r="B50" s="11" t="s">
        <v>513</v>
      </c>
      <c r="C50" s="3" t="s">
        <v>512</v>
      </c>
    </row>
    <row r="51" spans="1:5">
      <c r="A51" s="12" t="s">
        <v>517</v>
      </c>
      <c r="B51" s="11" t="s">
        <v>516</v>
      </c>
      <c r="C51" s="3" t="s">
        <v>515</v>
      </c>
    </row>
    <row r="52" spans="1:5">
      <c r="A52" s="12" t="s">
        <v>520</v>
      </c>
      <c r="B52" s="11" t="s">
        <v>519</v>
      </c>
      <c r="C52" s="3" t="s">
        <v>518</v>
      </c>
    </row>
    <row r="53" spans="1:5">
      <c r="A53" s="12" t="s">
        <v>523</v>
      </c>
      <c r="B53" s="11" t="s">
        <v>522</v>
      </c>
      <c r="C53" s="3" t="s">
        <v>521</v>
      </c>
    </row>
    <row r="54" spans="1:5">
      <c r="A54" s="12" t="s">
        <v>526</v>
      </c>
      <c r="B54" s="11" t="s">
        <v>525</v>
      </c>
      <c r="C54" s="3" t="s">
        <v>524</v>
      </c>
    </row>
    <row r="55" spans="1:5">
      <c r="A55" s="12" t="s">
        <v>529</v>
      </c>
      <c r="B55" s="11" t="s">
        <v>528</v>
      </c>
      <c r="C55" s="3" t="s">
        <v>527</v>
      </c>
    </row>
    <row r="56" spans="1:5">
      <c r="A56" s="12" t="s">
        <v>532</v>
      </c>
      <c r="B56" s="11" t="s">
        <v>531</v>
      </c>
      <c r="C56" s="3" t="s">
        <v>530</v>
      </c>
    </row>
    <row r="57" spans="1:5">
      <c r="A57" s="12" t="s">
        <v>535</v>
      </c>
      <c r="B57" s="11" t="s">
        <v>534</v>
      </c>
      <c r="C57" s="3" t="s">
        <v>533</v>
      </c>
    </row>
    <row r="58" spans="1:5">
      <c r="A58" s="12" t="s">
        <v>538</v>
      </c>
      <c r="B58" s="11" t="s">
        <v>537</v>
      </c>
      <c r="C58" s="3" t="s">
        <v>536</v>
      </c>
    </row>
    <row r="59" spans="1:5">
      <c r="A59" s="12" t="s">
        <v>541</v>
      </c>
      <c r="B59" s="11" t="s">
        <v>540</v>
      </c>
      <c r="C59" s="3" t="s">
        <v>539</v>
      </c>
      <c r="D59" s="3" t="s">
        <v>542</v>
      </c>
    </row>
    <row r="60" spans="1:5">
      <c r="A60" s="12" t="s">
        <v>545</v>
      </c>
      <c r="B60" s="11" t="s">
        <v>544</v>
      </c>
      <c r="C60" s="3" t="s">
        <v>543</v>
      </c>
    </row>
    <row r="61" spans="1:5">
      <c r="A61" s="12" t="s">
        <v>548</v>
      </c>
      <c r="B61" s="11" t="s">
        <v>547</v>
      </c>
      <c r="C61" s="3" t="s">
        <v>546</v>
      </c>
    </row>
    <row r="62" spans="1:5">
      <c r="A62" s="12" t="s">
        <v>551</v>
      </c>
      <c r="B62" s="11" t="s">
        <v>550</v>
      </c>
      <c r="C62" s="3" t="s">
        <v>549</v>
      </c>
    </row>
    <row r="63" spans="1:5">
      <c r="A63" s="12" t="s">
        <v>554</v>
      </c>
      <c r="B63" s="11" t="s">
        <v>553</v>
      </c>
      <c r="C63" s="3" t="s">
        <v>552</v>
      </c>
    </row>
    <row r="64" spans="1:5">
      <c r="A64" s="12" t="s">
        <v>535</v>
      </c>
      <c r="B64" s="11" t="s">
        <v>534</v>
      </c>
      <c r="C64" s="3" t="s">
        <v>533</v>
      </c>
    </row>
    <row r="65" spans="1:5">
      <c r="A65" s="12" t="s">
        <v>558</v>
      </c>
      <c r="B65" s="11" t="s">
        <v>557</v>
      </c>
      <c r="C65" s="3" t="s">
        <v>556</v>
      </c>
      <c r="D65" s="3" t="s">
        <v>555</v>
      </c>
    </row>
    <row r="66" spans="1:5" ht="21">
      <c r="A66" s="100">
        <v>42375</v>
      </c>
      <c r="B66" s="100"/>
      <c r="C66" s="100"/>
      <c r="D66" s="100"/>
      <c r="E66" s="100"/>
    </row>
    <row r="67" spans="1:5">
      <c r="A67" s="12" t="s">
        <v>561</v>
      </c>
      <c r="B67" s="11" t="s">
        <v>560</v>
      </c>
      <c r="C67" s="3" t="s">
        <v>559</v>
      </c>
    </row>
    <row r="68" spans="1:5">
      <c r="A68" s="12" t="s">
        <v>564</v>
      </c>
      <c r="B68" s="11" t="s">
        <v>563</v>
      </c>
      <c r="C68" s="3" t="s">
        <v>562</v>
      </c>
      <c r="E68" s="3" t="s">
        <v>565</v>
      </c>
    </row>
    <row r="69" spans="1:5">
      <c r="A69" s="12" t="s">
        <v>413</v>
      </c>
      <c r="B69" s="11" t="s">
        <v>412</v>
      </c>
      <c r="C69" s="3" t="s">
        <v>386</v>
      </c>
    </row>
    <row r="70" spans="1:5">
      <c r="A70" s="12" t="s">
        <v>568</v>
      </c>
      <c r="B70" s="11" t="s">
        <v>567</v>
      </c>
      <c r="C70" s="3" t="s">
        <v>566</v>
      </c>
    </row>
    <row r="71" spans="1:5">
      <c r="A71" s="12" t="s">
        <v>571</v>
      </c>
      <c r="B71" s="11" t="s">
        <v>570</v>
      </c>
      <c r="C71" s="3" t="s">
        <v>569</v>
      </c>
    </row>
    <row r="72" spans="1:5">
      <c r="A72" s="12" t="s">
        <v>574</v>
      </c>
      <c r="B72" s="11" t="s">
        <v>573</v>
      </c>
      <c r="C72" s="3" t="s">
        <v>572</v>
      </c>
    </row>
    <row r="73" spans="1:5">
      <c r="A73" s="12" t="s">
        <v>577</v>
      </c>
      <c r="B73" s="11" t="s">
        <v>576</v>
      </c>
      <c r="C73" s="3" t="s">
        <v>575</v>
      </c>
    </row>
    <row r="74" spans="1:5">
      <c r="A74" s="12" t="s">
        <v>580</v>
      </c>
      <c r="B74" s="11" t="s">
        <v>579</v>
      </c>
      <c r="C74" s="3" t="s">
        <v>578</v>
      </c>
    </row>
    <row r="75" spans="1:5">
      <c r="A75" s="12" t="s">
        <v>583</v>
      </c>
      <c r="B75" s="11" t="s">
        <v>582</v>
      </c>
      <c r="C75" s="3" t="s">
        <v>581</v>
      </c>
    </row>
    <row r="76" spans="1:5">
      <c r="A76" s="12" t="s">
        <v>585</v>
      </c>
      <c r="B76" s="11" t="s">
        <v>584</v>
      </c>
      <c r="C76" s="3" t="s">
        <v>586</v>
      </c>
    </row>
    <row r="77" spans="1:5">
      <c r="A77" s="12" t="s">
        <v>589</v>
      </c>
      <c r="B77" s="11" t="s">
        <v>588</v>
      </c>
      <c r="C77" s="3" t="s">
        <v>587</v>
      </c>
    </row>
    <row r="78" spans="1:5">
      <c r="A78" s="12" t="s">
        <v>592</v>
      </c>
      <c r="B78" s="11" t="s">
        <v>591</v>
      </c>
      <c r="C78" s="3" t="s">
        <v>590</v>
      </c>
    </row>
    <row r="79" spans="1:5">
      <c r="A79" s="12" t="s">
        <v>595</v>
      </c>
      <c r="B79" s="11" t="s">
        <v>594</v>
      </c>
      <c r="C79" s="3" t="s">
        <v>593</v>
      </c>
    </row>
    <row r="80" spans="1:5">
      <c r="A80" s="12" t="s">
        <v>598</v>
      </c>
      <c r="B80" s="11" t="s">
        <v>597</v>
      </c>
      <c r="C80" s="3" t="s">
        <v>596</v>
      </c>
    </row>
    <row r="81" spans="1:5">
      <c r="A81" s="12" t="s">
        <v>598</v>
      </c>
      <c r="B81" s="11" t="s">
        <v>597</v>
      </c>
      <c r="C81" s="3" t="s">
        <v>596</v>
      </c>
    </row>
    <row r="82" spans="1:5" ht="21">
      <c r="A82" s="100">
        <v>42376</v>
      </c>
      <c r="B82" s="100"/>
      <c r="C82" s="100"/>
      <c r="D82" s="100"/>
      <c r="E82" s="100"/>
    </row>
    <row r="83" spans="1:5">
      <c r="A83" s="12" t="s">
        <v>601</v>
      </c>
      <c r="B83" s="11" t="s">
        <v>600</v>
      </c>
      <c r="C83" s="3" t="s">
        <v>599</v>
      </c>
    </row>
    <row r="84" spans="1:5">
      <c r="A84" s="12" t="s">
        <v>604</v>
      </c>
      <c r="B84" s="11" t="s">
        <v>603</v>
      </c>
      <c r="C84" s="3" t="s">
        <v>602</v>
      </c>
    </row>
    <row r="85" spans="1:5">
      <c r="A85" s="12" t="s">
        <v>606</v>
      </c>
      <c r="B85" s="3" t="s">
        <v>605</v>
      </c>
      <c r="C85" s="3" t="s">
        <v>489</v>
      </c>
    </row>
    <row r="86" spans="1:5">
      <c r="A86" s="12" t="s">
        <v>609</v>
      </c>
      <c r="B86" s="11" t="s">
        <v>608</v>
      </c>
      <c r="C86" s="3" t="s">
        <v>607</v>
      </c>
    </row>
    <row r="87" spans="1:5">
      <c r="A87" s="12" t="s">
        <v>612</v>
      </c>
      <c r="B87" s="11" t="s">
        <v>611</v>
      </c>
      <c r="C87" s="3" t="s">
        <v>610</v>
      </c>
    </row>
    <row r="88" spans="1:5">
      <c r="A88" s="12" t="s">
        <v>615</v>
      </c>
      <c r="B88" s="11" t="s">
        <v>614</v>
      </c>
      <c r="C88" s="3" t="s">
        <v>613</v>
      </c>
    </row>
    <row r="89" spans="1:5">
      <c r="A89" s="12" t="s">
        <v>618</v>
      </c>
      <c r="B89" s="11" t="s">
        <v>617</v>
      </c>
      <c r="C89" s="3" t="s">
        <v>616</v>
      </c>
    </row>
    <row r="90" spans="1:5">
      <c r="A90" s="12" t="s">
        <v>621</v>
      </c>
      <c r="B90" s="11" t="s">
        <v>620</v>
      </c>
      <c r="C90" s="3" t="s">
        <v>619</v>
      </c>
    </row>
    <row r="91" spans="1:5">
      <c r="A91" s="12" t="s">
        <v>624</v>
      </c>
      <c r="B91" s="11" t="s">
        <v>623</v>
      </c>
      <c r="C91" s="3" t="s">
        <v>622</v>
      </c>
    </row>
    <row r="92" spans="1:5">
      <c r="A92" s="12" t="s">
        <v>627</v>
      </c>
      <c r="B92" s="11" t="s">
        <v>626</v>
      </c>
      <c r="C92" s="3" t="s">
        <v>625</v>
      </c>
    </row>
    <row r="93" spans="1:5">
      <c r="A93" s="12" t="s">
        <v>630</v>
      </c>
      <c r="B93" s="11" t="s">
        <v>629</v>
      </c>
      <c r="C93" s="3" t="s">
        <v>628</v>
      </c>
    </row>
    <row r="94" spans="1:5">
      <c r="A94" s="12" t="s">
        <v>633</v>
      </c>
      <c r="B94" s="11" t="s">
        <v>632</v>
      </c>
      <c r="C94" s="3" t="s">
        <v>631</v>
      </c>
    </row>
    <row r="95" spans="1:5">
      <c r="A95" s="12" t="s">
        <v>636</v>
      </c>
      <c r="B95" s="11" t="s">
        <v>635</v>
      </c>
      <c r="C95" s="3" t="s">
        <v>634</v>
      </c>
    </row>
    <row r="96" spans="1:5" ht="21">
      <c r="A96" s="100">
        <v>42379</v>
      </c>
      <c r="B96" s="100"/>
      <c r="C96" s="100"/>
      <c r="D96" s="100"/>
      <c r="E96" s="100"/>
    </row>
    <row r="97" spans="1:5">
      <c r="A97" s="12" t="s">
        <v>639</v>
      </c>
      <c r="B97" s="11" t="s">
        <v>638</v>
      </c>
      <c r="C97" s="3" t="s">
        <v>637</v>
      </c>
    </row>
    <row r="98" spans="1:5">
      <c r="A98" s="12" t="s">
        <v>642</v>
      </c>
      <c r="B98" s="11" t="s">
        <v>641</v>
      </c>
      <c r="C98" s="3" t="s">
        <v>640</v>
      </c>
    </row>
    <row r="99" spans="1:5">
      <c r="A99" s="12" t="s">
        <v>646</v>
      </c>
      <c r="B99" s="11" t="s">
        <v>645</v>
      </c>
      <c r="C99" s="3" t="s">
        <v>644</v>
      </c>
      <c r="D99" s="3" t="s">
        <v>643</v>
      </c>
    </row>
    <row r="100" spans="1:5">
      <c r="A100" s="12" t="s">
        <v>649</v>
      </c>
      <c r="B100" s="11" t="s">
        <v>648</v>
      </c>
      <c r="C100" s="3" t="s">
        <v>647</v>
      </c>
    </row>
    <row r="101" spans="1:5">
      <c r="A101" s="12" t="s">
        <v>652</v>
      </c>
      <c r="B101" s="11" t="s">
        <v>651</v>
      </c>
      <c r="C101" s="3" t="s">
        <v>650</v>
      </c>
    </row>
    <row r="102" spans="1:5">
      <c r="A102" s="12" t="s">
        <v>655</v>
      </c>
      <c r="B102" s="11" t="s">
        <v>654</v>
      </c>
      <c r="C102" s="3" t="s">
        <v>653</v>
      </c>
    </row>
    <row r="103" spans="1:5">
      <c r="A103" s="12" t="s">
        <v>657</v>
      </c>
      <c r="B103" s="11" t="s">
        <v>656</v>
      </c>
      <c r="C103" s="3" t="s">
        <v>503</v>
      </c>
    </row>
    <row r="104" spans="1:5">
      <c r="A104" s="12" t="s">
        <v>660</v>
      </c>
      <c r="B104" s="11" t="s">
        <v>659</v>
      </c>
      <c r="C104" s="3" t="s">
        <v>658</v>
      </c>
    </row>
    <row r="105" spans="1:5">
      <c r="A105" s="12" t="s">
        <v>663</v>
      </c>
      <c r="B105" s="11" t="s">
        <v>662</v>
      </c>
      <c r="C105" s="3" t="s">
        <v>661</v>
      </c>
    </row>
    <row r="106" spans="1:5">
      <c r="A106" s="12" t="s">
        <v>666</v>
      </c>
      <c r="B106" s="11" t="s">
        <v>665</v>
      </c>
      <c r="C106" s="3" t="s">
        <v>664</v>
      </c>
    </row>
    <row r="107" spans="1:5" ht="21">
      <c r="A107" s="100">
        <v>42380</v>
      </c>
      <c r="B107" s="100"/>
      <c r="C107" s="100"/>
      <c r="D107" s="100"/>
      <c r="E107" s="100"/>
    </row>
    <row r="108" spans="1:5">
      <c r="A108" s="12" t="s">
        <v>669</v>
      </c>
      <c r="B108" s="11" t="s">
        <v>668</v>
      </c>
      <c r="C108" s="3" t="s">
        <v>667</v>
      </c>
    </row>
    <row r="109" spans="1:5">
      <c r="A109" s="12" t="s">
        <v>672</v>
      </c>
      <c r="B109" s="11" t="s">
        <v>671</v>
      </c>
      <c r="C109" s="3" t="s">
        <v>670</v>
      </c>
    </row>
    <row r="110" spans="1:5">
      <c r="A110" s="12" t="s">
        <v>678</v>
      </c>
      <c r="B110" s="11" t="s">
        <v>677</v>
      </c>
      <c r="C110" s="3" t="s">
        <v>673</v>
      </c>
    </row>
    <row r="111" spans="1:5">
      <c r="A111" s="12" t="s">
        <v>676</v>
      </c>
      <c r="B111" s="11" t="s">
        <v>675</v>
      </c>
      <c r="C111" s="3" t="s">
        <v>674</v>
      </c>
    </row>
    <row r="112" spans="1:5">
      <c r="A112" s="12" t="s">
        <v>681</v>
      </c>
      <c r="B112" s="11" t="s">
        <v>680</v>
      </c>
      <c r="C112" s="3" t="s">
        <v>679</v>
      </c>
    </row>
    <row r="113" spans="1:5">
      <c r="A113" s="12" t="s">
        <v>684</v>
      </c>
      <c r="B113" s="11" t="s">
        <v>683</v>
      </c>
      <c r="C113" s="3" t="s">
        <v>682</v>
      </c>
    </row>
    <row r="114" spans="1:5">
      <c r="A114" s="12" t="s">
        <v>687</v>
      </c>
      <c r="B114" s="11" t="s">
        <v>686</v>
      </c>
      <c r="C114" s="3" t="s">
        <v>685</v>
      </c>
    </row>
    <row r="115" spans="1:5">
      <c r="A115" s="12" t="s">
        <v>690</v>
      </c>
      <c r="B115" s="11" t="s">
        <v>689</v>
      </c>
      <c r="C115" s="3" t="s">
        <v>688</v>
      </c>
    </row>
    <row r="116" spans="1:5">
      <c r="A116" s="12" t="s">
        <v>693</v>
      </c>
      <c r="B116" s="11" t="s">
        <v>692</v>
      </c>
      <c r="C116" s="3" t="s">
        <v>691</v>
      </c>
    </row>
    <row r="117" spans="1:5">
      <c r="A117" s="12" t="s">
        <v>696</v>
      </c>
      <c r="B117" s="11" t="s">
        <v>695</v>
      </c>
      <c r="C117" s="3" t="s">
        <v>694</v>
      </c>
    </row>
    <row r="118" spans="1:5">
      <c r="A118" s="12" t="s">
        <v>699</v>
      </c>
      <c r="B118" s="11" t="s">
        <v>698</v>
      </c>
      <c r="C118" s="3" t="s">
        <v>697</v>
      </c>
    </row>
    <row r="119" spans="1:5">
      <c r="A119" s="12" t="s">
        <v>702</v>
      </c>
      <c r="B119" s="11" t="s">
        <v>701</v>
      </c>
      <c r="C119" s="3" t="s">
        <v>700</v>
      </c>
    </row>
    <row r="120" spans="1:5">
      <c r="A120" s="12" t="s">
        <v>705</v>
      </c>
      <c r="B120" s="11" t="s">
        <v>704</v>
      </c>
      <c r="C120" s="3" t="s">
        <v>703</v>
      </c>
    </row>
    <row r="121" spans="1:5" ht="21">
      <c r="A121" s="100">
        <v>42381</v>
      </c>
      <c r="B121" s="100"/>
      <c r="C121" s="100"/>
      <c r="D121" s="100"/>
      <c r="E121" s="100"/>
    </row>
    <row r="122" spans="1:5">
      <c r="A122" s="12" t="s">
        <v>708</v>
      </c>
      <c r="B122" s="11" t="s">
        <v>707</v>
      </c>
      <c r="C122" s="3" t="s">
        <v>706</v>
      </c>
    </row>
    <row r="123" spans="1:5">
      <c r="A123" s="12" t="s">
        <v>711</v>
      </c>
      <c r="B123" s="11" t="s">
        <v>710</v>
      </c>
      <c r="C123" s="3" t="s">
        <v>709</v>
      </c>
    </row>
    <row r="124" spans="1:5">
      <c r="A124" s="12" t="s">
        <v>714</v>
      </c>
      <c r="B124" s="11" t="s">
        <v>713</v>
      </c>
      <c r="C124" s="3" t="s">
        <v>712</v>
      </c>
    </row>
    <row r="125" spans="1:5">
      <c r="A125" s="12" t="s">
        <v>717</v>
      </c>
      <c r="B125" s="11" t="s">
        <v>716</v>
      </c>
      <c r="C125" s="3" t="s">
        <v>715</v>
      </c>
    </row>
    <row r="126" spans="1:5">
      <c r="A126" s="12" t="s">
        <v>719</v>
      </c>
      <c r="B126" s="11" t="s">
        <v>718</v>
      </c>
      <c r="C126" s="3" t="s">
        <v>697</v>
      </c>
    </row>
    <row r="127" spans="1:5">
      <c r="A127" s="12" t="s">
        <v>699</v>
      </c>
      <c r="B127" s="11" t="s">
        <v>698</v>
      </c>
      <c r="C127" s="3" t="s">
        <v>720</v>
      </c>
    </row>
    <row r="128" spans="1:5">
      <c r="A128" s="12" t="s">
        <v>723</v>
      </c>
      <c r="B128" s="11" t="s">
        <v>722</v>
      </c>
      <c r="C128" s="3" t="s">
        <v>721</v>
      </c>
    </row>
    <row r="129" spans="1:5">
      <c r="A129" s="12" t="s">
        <v>726</v>
      </c>
      <c r="B129" s="11" t="s">
        <v>725</v>
      </c>
      <c r="C129" s="3" t="s">
        <v>724</v>
      </c>
    </row>
    <row r="130" spans="1:5">
      <c r="A130" s="12" t="s">
        <v>729</v>
      </c>
      <c r="B130" s="11" t="s">
        <v>728</v>
      </c>
      <c r="C130" s="3" t="s">
        <v>727</v>
      </c>
    </row>
    <row r="131" spans="1:5">
      <c r="A131" s="12" t="s">
        <v>732</v>
      </c>
      <c r="B131" s="11" t="s">
        <v>731</v>
      </c>
      <c r="C131" s="3" t="s">
        <v>730</v>
      </c>
    </row>
    <row r="132" spans="1:5">
      <c r="A132" s="12" t="s">
        <v>735</v>
      </c>
      <c r="B132" s="11" t="s">
        <v>734</v>
      </c>
      <c r="C132" s="3" t="s">
        <v>733</v>
      </c>
    </row>
    <row r="133" spans="1:5">
      <c r="A133" s="12" t="s">
        <v>738</v>
      </c>
      <c r="B133" s="11" t="s">
        <v>737</v>
      </c>
      <c r="C133" s="3" t="s">
        <v>736</v>
      </c>
      <c r="E133" s="3" t="s">
        <v>739</v>
      </c>
    </row>
    <row r="134" spans="1:5">
      <c r="A134" s="12" t="s">
        <v>742</v>
      </c>
      <c r="B134" s="11" t="s">
        <v>741</v>
      </c>
      <c r="C134" s="3" t="s">
        <v>740</v>
      </c>
    </row>
    <row r="135" spans="1:5">
      <c r="A135" s="12" t="s">
        <v>461</v>
      </c>
      <c r="B135" s="11" t="s">
        <v>460</v>
      </c>
      <c r="C135" s="3" t="s">
        <v>459</v>
      </c>
    </row>
    <row r="136" spans="1:5" ht="21">
      <c r="A136" s="100">
        <v>42382</v>
      </c>
      <c r="B136" s="100"/>
      <c r="C136" s="100"/>
      <c r="D136" s="100"/>
      <c r="E136" s="100"/>
    </row>
    <row r="137" spans="1:5">
      <c r="A137" s="12" t="s">
        <v>746</v>
      </c>
      <c r="B137" s="11" t="s">
        <v>745</v>
      </c>
      <c r="C137" s="3" t="s">
        <v>744</v>
      </c>
      <c r="D137" s="3" t="s">
        <v>747</v>
      </c>
    </row>
    <row r="138" spans="1:5">
      <c r="A138" s="12" t="s">
        <v>749</v>
      </c>
      <c r="B138" s="11" t="s">
        <v>748</v>
      </c>
      <c r="C138" s="3" t="s">
        <v>743</v>
      </c>
    </row>
    <row r="139" spans="1:5">
      <c r="A139" s="12" t="s">
        <v>752</v>
      </c>
      <c r="B139" s="11" t="s">
        <v>751</v>
      </c>
      <c r="C139" s="3" t="s">
        <v>750</v>
      </c>
    </row>
    <row r="140" spans="1:5">
      <c r="A140" s="12" t="s">
        <v>458</v>
      </c>
      <c r="B140" s="11" t="s">
        <v>457</v>
      </c>
      <c r="C140" s="3" t="s">
        <v>753</v>
      </c>
    </row>
    <row r="141" spans="1:5">
      <c r="A141" s="12" t="s">
        <v>458</v>
      </c>
      <c r="B141" s="11" t="s">
        <v>457</v>
      </c>
      <c r="C141" s="3" t="s">
        <v>456</v>
      </c>
    </row>
    <row r="142" spans="1:5">
      <c r="A142" s="12" t="s">
        <v>756</v>
      </c>
      <c r="B142" s="11" t="s">
        <v>755</v>
      </c>
      <c r="C142" s="3" t="s">
        <v>754</v>
      </c>
    </row>
    <row r="143" spans="1:5">
      <c r="A143" s="12" t="s">
        <v>738</v>
      </c>
      <c r="B143" s="11" t="s">
        <v>737</v>
      </c>
      <c r="C143" s="3" t="s">
        <v>736</v>
      </c>
    </row>
    <row r="144" spans="1:5">
      <c r="A144" s="12" t="s">
        <v>759</v>
      </c>
      <c r="B144" s="11" t="s">
        <v>758</v>
      </c>
      <c r="C144" s="3" t="s">
        <v>757</v>
      </c>
    </row>
    <row r="145" spans="1:5">
      <c r="A145" s="12" t="s">
        <v>762</v>
      </c>
      <c r="B145" s="11" t="s">
        <v>761</v>
      </c>
      <c r="C145" s="3" t="s">
        <v>760</v>
      </c>
    </row>
    <row r="146" spans="1:5">
      <c r="A146" s="12" t="s">
        <v>764</v>
      </c>
      <c r="B146" s="11" t="s">
        <v>763</v>
      </c>
      <c r="C146" s="3" t="s">
        <v>765</v>
      </c>
    </row>
    <row r="147" spans="1:5">
      <c r="A147" s="12" t="s">
        <v>767</v>
      </c>
      <c r="B147" s="11" t="s">
        <v>766</v>
      </c>
      <c r="C147" s="3" t="s">
        <v>768</v>
      </c>
    </row>
    <row r="148" spans="1:5" ht="21">
      <c r="A148" s="100">
        <v>42383</v>
      </c>
      <c r="B148" s="100"/>
      <c r="C148" s="100"/>
      <c r="D148" s="100"/>
      <c r="E148" s="100"/>
    </row>
    <row r="149" spans="1:5">
      <c r="A149" s="12" t="s">
        <v>770</v>
      </c>
      <c r="B149" s="11" t="s">
        <v>769</v>
      </c>
      <c r="C149" s="3" t="s">
        <v>661</v>
      </c>
    </row>
    <row r="150" spans="1:5">
      <c r="A150" s="12" t="s">
        <v>773</v>
      </c>
      <c r="B150" s="11" t="s">
        <v>772</v>
      </c>
      <c r="C150" s="3" t="s">
        <v>771</v>
      </c>
    </row>
    <row r="151" spans="1:5">
      <c r="A151" s="12" t="s">
        <v>776</v>
      </c>
      <c r="B151" s="11" t="s">
        <v>775</v>
      </c>
      <c r="C151" s="3" t="s">
        <v>774</v>
      </c>
    </row>
    <row r="152" spans="1:5">
      <c r="A152" s="12" t="s">
        <v>779</v>
      </c>
      <c r="B152" s="11" t="s">
        <v>778</v>
      </c>
      <c r="C152" s="3" t="s">
        <v>777</v>
      </c>
    </row>
    <row r="153" spans="1:5">
      <c r="A153" s="12" t="s">
        <v>782</v>
      </c>
      <c r="B153" s="11" t="s">
        <v>781</v>
      </c>
      <c r="C153" s="3" t="s">
        <v>780</v>
      </c>
    </row>
    <row r="154" spans="1:5">
      <c r="A154" s="12" t="s">
        <v>779</v>
      </c>
      <c r="B154" s="11" t="s">
        <v>778</v>
      </c>
      <c r="C154" s="3" t="s">
        <v>783</v>
      </c>
    </row>
    <row r="155" spans="1:5">
      <c r="A155" s="12" t="s">
        <v>785</v>
      </c>
      <c r="B155" s="11" t="s">
        <v>784</v>
      </c>
      <c r="C155" s="3" t="s">
        <v>489</v>
      </c>
    </row>
    <row r="156" spans="1:5">
      <c r="A156" s="12" t="s">
        <v>788</v>
      </c>
      <c r="B156" s="11" t="s">
        <v>787</v>
      </c>
      <c r="C156" s="3" t="s">
        <v>786</v>
      </c>
    </row>
    <row r="157" spans="1:5">
      <c r="A157" s="12" t="s">
        <v>791</v>
      </c>
      <c r="B157" s="11" t="s">
        <v>790</v>
      </c>
      <c r="C157" s="3" t="s">
        <v>789</v>
      </c>
    </row>
    <row r="158" spans="1:5">
      <c r="A158" s="12" t="s">
        <v>794</v>
      </c>
      <c r="B158" s="11" t="s">
        <v>793</v>
      </c>
      <c r="C158" s="3" t="s">
        <v>792</v>
      </c>
    </row>
    <row r="159" spans="1:5">
      <c r="A159" s="12" t="s">
        <v>762</v>
      </c>
      <c r="B159" s="11" t="s">
        <v>761</v>
      </c>
      <c r="C159" s="3" t="s">
        <v>760</v>
      </c>
    </row>
    <row r="160" spans="1:5">
      <c r="A160" s="12" t="s">
        <v>797</v>
      </c>
      <c r="B160" s="11" t="s">
        <v>796</v>
      </c>
      <c r="C160" s="3" t="s">
        <v>795</v>
      </c>
    </row>
    <row r="161" spans="1:5">
      <c r="A161" s="12" t="s">
        <v>800</v>
      </c>
      <c r="B161" s="11" t="s">
        <v>799</v>
      </c>
      <c r="C161" s="3" t="s">
        <v>798</v>
      </c>
    </row>
    <row r="162" spans="1:5">
      <c r="A162" s="12" t="s">
        <v>803</v>
      </c>
      <c r="B162" s="11" t="s">
        <v>802</v>
      </c>
      <c r="C162" s="3" t="s">
        <v>801</v>
      </c>
    </row>
    <row r="163" spans="1:5">
      <c r="A163" s="12" t="s">
        <v>806</v>
      </c>
      <c r="B163" s="11" t="s">
        <v>805</v>
      </c>
      <c r="C163" s="3" t="s">
        <v>804</v>
      </c>
    </row>
    <row r="164" spans="1:5">
      <c r="A164" s="12" t="s">
        <v>809</v>
      </c>
      <c r="B164" s="11" t="s">
        <v>808</v>
      </c>
      <c r="C164" s="3" t="s">
        <v>807</v>
      </c>
    </row>
    <row r="165" spans="1:5">
      <c r="A165" s="12" t="s">
        <v>812</v>
      </c>
      <c r="B165" s="11" t="s">
        <v>811</v>
      </c>
      <c r="C165" s="3" t="s">
        <v>810</v>
      </c>
    </row>
    <row r="166" spans="1:5" ht="21">
      <c r="A166" s="100">
        <v>42384</v>
      </c>
      <c r="B166" s="100"/>
      <c r="C166" s="100"/>
      <c r="D166" s="100"/>
      <c r="E166" s="100"/>
    </row>
    <row r="167" spans="1:5">
      <c r="A167" s="12" t="s">
        <v>815</v>
      </c>
      <c r="B167" s="11" t="s">
        <v>814</v>
      </c>
      <c r="C167" s="3" t="s">
        <v>813</v>
      </c>
    </row>
    <row r="168" spans="1:5">
      <c r="A168" s="12" t="s">
        <v>818</v>
      </c>
      <c r="B168" s="11" t="s">
        <v>817</v>
      </c>
      <c r="C168" s="3" t="s">
        <v>816</v>
      </c>
      <c r="D168" s="3" t="s">
        <v>819</v>
      </c>
    </row>
    <row r="169" spans="1:5">
      <c r="A169" s="12" t="s">
        <v>822</v>
      </c>
      <c r="B169" s="11" t="s">
        <v>821</v>
      </c>
      <c r="C169" s="3" t="s">
        <v>820</v>
      </c>
    </row>
    <row r="170" spans="1:5">
      <c r="A170" s="12" t="s">
        <v>825</v>
      </c>
      <c r="B170" s="11" t="s">
        <v>824</v>
      </c>
      <c r="C170" s="3" t="s">
        <v>823</v>
      </c>
    </row>
    <row r="171" spans="1:5">
      <c r="A171" s="12" t="s">
        <v>828</v>
      </c>
      <c r="B171" s="11" t="s">
        <v>827</v>
      </c>
      <c r="C171" s="3" t="s">
        <v>826</v>
      </c>
    </row>
    <row r="172" spans="1:5">
      <c r="A172" s="12" t="s">
        <v>831</v>
      </c>
      <c r="B172" s="11" t="s">
        <v>830</v>
      </c>
      <c r="C172" s="3" t="s">
        <v>829</v>
      </c>
    </row>
    <row r="173" spans="1:5">
      <c r="A173" s="12" t="s">
        <v>834</v>
      </c>
      <c r="B173" s="11" t="s">
        <v>833</v>
      </c>
      <c r="C173" s="3" t="s">
        <v>832</v>
      </c>
    </row>
    <row r="174" spans="1:5">
      <c r="A174" s="12" t="s">
        <v>800</v>
      </c>
      <c r="B174" s="11" t="s">
        <v>799</v>
      </c>
      <c r="C174" s="3" t="s">
        <v>798</v>
      </c>
    </row>
    <row r="175" spans="1:5">
      <c r="A175" s="12" t="s">
        <v>752</v>
      </c>
      <c r="B175" s="11" t="s">
        <v>751</v>
      </c>
      <c r="C175" s="3" t="s">
        <v>750</v>
      </c>
    </row>
    <row r="176" spans="1:5">
      <c r="A176" s="12" t="s">
        <v>837</v>
      </c>
      <c r="B176" s="11" t="s">
        <v>836</v>
      </c>
      <c r="C176" s="3" t="s">
        <v>835</v>
      </c>
    </row>
    <row r="177" spans="1:5">
      <c r="A177" s="12" t="s">
        <v>828</v>
      </c>
      <c r="B177" s="11" t="s">
        <v>827</v>
      </c>
      <c r="C177" s="3" t="s">
        <v>826</v>
      </c>
    </row>
    <row r="178" spans="1:5">
      <c r="A178" s="12" t="s">
        <v>840</v>
      </c>
      <c r="B178" s="11" t="s">
        <v>839</v>
      </c>
      <c r="C178" s="3" t="s">
        <v>838</v>
      </c>
    </row>
    <row r="179" spans="1:5">
      <c r="A179" s="12" t="s">
        <v>843</v>
      </c>
      <c r="B179" s="11" t="s">
        <v>842</v>
      </c>
      <c r="C179" s="3" t="s">
        <v>841</v>
      </c>
    </row>
    <row r="180" spans="1:5">
      <c r="A180" s="12" t="s">
        <v>846</v>
      </c>
      <c r="B180" s="11" t="s">
        <v>845</v>
      </c>
      <c r="C180" s="3" t="s">
        <v>844</v>
      </c>
    </row>
    <row r="181" spans="1:5">
      <c r="A181" s="12" t="s">
        <v>849</v>
      </c>
      <c r="B181" s="11" t="s">
        <v>848</v>
      </c>
      <c r="C181" s="3" t="s">
        <v>847</v>
      </c>
    </row>
    <row r="182" spans="1:5">
      <c r="A182" s="12" t="s">
        <v>852</v>
      </c>
      <c r="B182" s="11" t="s">
        <v>851</v>
      </c>
      <c r="C182" s="3" t="s">
        <v>850</v>
      </c>
    </row>
    <row r="183" spans="1:5">
      <c r="A183" s="12" t="s">
        <v>551</v>
      </c>
      <c r="B183" s="11" t="s">
        <v>550</v>
      </c>
      <c r="C183" s="3" t="s">
        <v>549</v>
      </c>
    </row>
    <row r="184" spans="1:5">
      <c r="A184" s="12" t="s">
        <v>855</v>
      </c>
      <c r="B184" s="11" t="s">
        <v>854</v>
      </c>
      <c r="C184" s="3" t="s">
        <v>853</v>
      </c>
    </row>
    <row r="185" spans="1:5">
      <c r="A185" s="12" t="s">
        <v>858</v>
      </c>
      <c r="B185" s="11" t="s">
        <v>857</v>
      </c>
      <c r="C185" s="3" t="s">
        <v>856</v>
      </c>
    </row>
    <row r="186" spans="1:5">
      <c r="A186" s="12" t="s">
        <v>861</v>
      </c>
      <c r="B186" s="11" t="s">
        <v>860</v>
      </c>
      <c r="C186" s="3" t="s">
        <v>859</v>
      </c>
    </row>
    <row r="187" spans="1:5">
      <c r="A187" s="12" t="s">
        <v>863</v>
      </c>
      <c r="B187" s="11" t="s">
        <v>863</v>
      </c>
      <c r="C187" s="3" t="s">
        <v>862</v>
      </c>
    </row>
    <row r="188" spans="1:5">
      <c r="A188" s="12" t="s">
        <v>866</v>
      </c>
      <c r="B188" s="11" t="s">
        <v>865</v>
      </c>
      <c r="C188" s="3" t="s">
        <v>864</v>
      </c>
    </row>
    <row r="189" spans="1:5">
      <c r="A189" s="12" t="s">
        <v>869</v>
      </c>
      <c r="B189" s="11" t="s">
        <v>868</v>
      </c>
      <c r="C189" s="3" t="s">
        <v>867</v>
      </c>
    </row>
    <row r="190" spans="1:5" ht="21">
      <c r="A190" s="100">
        <v>42386</v>
      </c>
      <c r="B190" s="100"/>
      <c r="C190" s="100"/>
      <c r="D190" s="100"/>
      <c r="E190" s="100"/>
    </row>
    <row r="191" spans="1:5">
      <c r="A191" s="12" t="s">
        <v>872</v>
      </c>
      <c r="B191" s="11" t="s">
        <v>871</v>
      </c>
      <c r="C191" s="3" t="s">
        <v>870</v>
      </c>
    </row>
    <row r="192" spans="1:5">
      <c r="A192" s="12" t="s">
        <v>875</v>
      </c>
      <c r="B192" s="11" t="s">
        <v>874</v>
      </c>
      <c r="C192" s="3" t="s">
        <v>873</v>
      </c>
    </row>
    <row r="193" spans="1:5">
      <c r="A193" s="12" t="s">
        <v>878</v>
      </c>
      <c r="B193" s="11" t="s">
        <v>877</v>
      </c>
      <c r="C193" s="3" t="s">
        <v>876</v>
      </c>
    </row>
    <row r="194" spans="1:5">
      <c r="A194" s="12" t="s">
        <v>881</v>
      </c>
      <c r="B194" s="11" t="s">
        <v>880</v>
      </c>
      <c r="C194" s="3" t="s">
        <v>879</v>
      </c>
    </row>
    <row r="195" spans="1:5">
      <c r="A195" s="12" t="s">
        <v>762</v>
      </c>
      <c r="B195" s="11" t="s">
        <v>761</v>
      </c>
      <c r="C195" s="3" t="s">
        <v>760</v>
      </c>
      <c r="D195" s="3" t="s">
        <v>882</v>
      </c>
    </row>
    <row r="196" spans="1:5">
      <c r="A196" s="12" t="s">
        <v>885</v>
      </c>
      <c r="B196" s="11" t="s">
        <v>884</v>
      </c>
      <c r="C196" s="3" t="s">
        <v>883</v>
      </c>
    </row>
    <row r="197" spans="1:5">
      <c r="A197" s="12" t="s">
        <v>551</v>
      </c>
      <c r="B197" s="11" t="s">
        <v>550</v>
      </c>
      <c r="C197" s="3" t="s">
        <v>549</v>
      </c>
    </row>
    <row r="198" spans="1:5">
      <c r="A198" s="12" t="s">
        <v>389</v>
      </c>
      <c r="B198" s="11" t="s">
        <v>388</v>
      </c>
      <c r="C198" s="3" t="s">
        <v>387</v>
      </c>
      <c r="D198" s="3" t="s">
        <v>643</v>
      </c>
    </row>
    <row r="199" spans="1:5">
      <c r="A199" s="12" t="s">
        <v>888</v>
      </c>
      <c r="B199" s="11" t="s">
        <v>887</v>
      </c>
      <c r="C199" s="3" t="s">
        <v>886</v>
      </c>
    </row>
    <row r="200" spans="1:5">
      <c r="A200" s="12" t="s">
        <v>891</v>
      </c>
      <c r="B200" s="11" t="s">
        <v>890</v>
      </c>
      <c r="C200" s="3" t="s">
        <v>889</v>
      </c>
    </row>
    <row r="201" spans="1:5">
      <c r="A201" s="12" t="s">
        <v>894</v>
      </c>
      <c r="B201" s="11" t="s">
        <v>893</v>
      </c>
      <c r="C201" s="3" t="s">
        <v>892</v>
      </c>
    </row>
    <row r="202" spans="1:5" ht="21">
      <c r="A202" s="100">
        <v>42387</v>
      </c>
      <c r="B202" s="100"/>
      <c r="C202" s="100"/>
      <c r="D202" s="100"/>
      <c r="E202" s="100"/>
    </row>
    <row r="203" spans="1:5">
      <c r="A203" s="12" t="s">
        <v>896</v>
      </c>
      <c r="B203" s="11" t="s">
        <v>895</v>
      </c>
      <c r="C203" s="3" t="s">
        <v>386</v>
      </c>
    </row>
    <row r="204" spans="1:5">
      <c r="A204" s="12" t="s">
        <v>899</v>
      </c>
      <c r="B204" s="11" t="s">
        <v>898</v>
      </c>
      <c r="C204" s="3" t="s">
        <v>897</v>
      </c>
    </row>
    <row r="205" spans="1:5">
      <c r="A205" s="12" t="s">
        <v>902</v>
      </c>
      <c r="B205" s="11" t="s">
        <v>901</v>
      </c>
      <c r="C205" s="3" t="s">
        <v>900</v>
      </c>
    </row>
    <row r="206" spans="1:5">
      <c r="A206" s="12" t="s">
        <v>905</v>
      </c>
      <c r="B206" s="11" t="s">
        <v>904</v>
      </c>
      <c r="C206" s="3" t="s">
        <v>903</v>
      </c>
    </row>
    <row r="207" spans="1:5">
      <c r="A207" s="12" t="s">
        <v>908</v>
      </c>
      <c r="B207" s="11" t="s">
        <v>907</v>
      </c>
      <c r="C207" s="3" t="s">
        <v>906</v>
      </c>
    </row>
    <row r="208" spans="1:5">
      <c r="A208" s="12" t="s">
        <v>374</v>
      </c>
      <c r="B208" s="11" t="s">
        <v>373</v>
      </c>
      <c r="C208" s="3" t="s">
        <v>909</v>
      </c>
    </row>
    <row r="209" spans="1:5">
      <c r="A209" s="12" t="s">
        <v>912</v>
      </c>
      <c r="B209" s="11" t="s">
        <v>911</v>
      </c>
      <c r="C209" s="3" t="s">
        <v>910</v>
      </c>
    </row>
    <row r="210" spans="1:5">
      <c r="A210" s="12" t="s">
        <v>915</v>
      </c>
      <c r="B210" s="11" t="s">
        <v>914</v>
      </c>
      <c r="C210" s="3" t="s">
        <v>913</v>
      </c>
    </row>
    <row r="211" spans="1:5">
      <c r="A211" s="12" t="s">
        <v>918</v>
      </c>
      <c r="B211" s="11" t="s">
        <v>917</v>
      </c>
      <c r="C211" s="3" t="s">
        <v>916</v>
      </c>
    </row>
    <row r="212" spans="1:5">
      <c r="A212" s="12" t="s">
        <v>921</v>
      </c>
      <c r="B212" s="11" t="s">
        <v>920</v>
      </c>
      <c r="C212" s="3" t="s">
        <v>919</v>
      </c>
    </row>
    <row r="213" spans="1:5">
      <c r="A213" s="12" t="s">
        <v>924</v>
      </c>
      <c r="B213" s="11" t="s">
        <v>923</v>
      </c>
      <c r="C213" s="3" t="s">
        <v>922</v>
      </c>
    </row>
    <row r="214" spans="1:5">
      <c r="A214" s="12" t="s">
        <v>927</v>
      </c>
      <c r="B214" s="11" t="s">
        <v>926</v>
      </c>
      <c r="C214" s="3" t="s">
        <v>925</v>
      </c>
    </row>
    <row r="215" spans="1:5">
      <c r="A215" s="12" t="s">
        <v>541</v>
      </c>
      <c r="B215" s="11" t="s">
        <v>540</v>
      </c>
      <c r="C215" s="3" t="s">
        <v>539</v>
      </c>
    </row>
    <row r="216" spans="1:5">
      <c r="A216" s="12" t="s">
        <v>702</v>
      </c>
      <c r="B216" s="11" t="s">
        <v>701</v>
      </c>
      <c r="C216" s="3" t="s">
        <v>700</v>
      </c>
      <c r="D216" s="3" t="s">
        <v>928</v>
      </c>
    </row>
    <row r="217" spans="1:5">
      <c r="A217" s="12" t="s">
        <v>931</v>
      </c>
      <c r="B217" s="11" t="s">
        <v>930</v>
      </c>
      <c r="C217" s="3" t="s">
        <v>929</v>
      </c>
    </row>
    <row r="218" spans="1:5">
      <c r="A218" s="12" t="s">
        <v>934</v>
      </c>
      <c r="B218" s="11" t="s">
        <v>933</v>
      </c>
      <c r="C218" s="3" t="s">
        <v>932</v>
      </c>
    </row>
    <row r="219" spans="1:5">
      <c r="A219" s="12" t="s">
        <v>937</v>
      </c>
      <c r="B219" s="11" t="s">
        <v>936</v>
      </c>
      <c r="C219" s="3" t="s">
        <v>935</v>
      </c>
    </row>
    <row r="220" spans="1:5">
      <c r="A220" s="12" t="s">
        <v>940</v>
      </c>
      <c r="B220" s="11" t="s">
        <v>939</v>
      </c>
      <c r="C220" s="3" t="s">
        <v>938</v>
      </c>
    </row>
    <row r="221" spans="1:5">
      <c r="A221" s="12" t="s">
        <v>943</v>
      </c>
      <c r="B221" s="11" t="s">
        <v>942</v>
      </c>
      <c r="C221" s="3" t="s">
        <v>941</v>
      </c>
      <c r="D221" s="3" t="s">
        <v>944</v>
      </c>
    </row>
    <row r="222" spans="1:5" ht="21">
      <c r="A222" s="100">
        <v>42388</v>
      </c>
      <c r="B222" s="100"/>
      <c r="C222" s="100"/>
      <c r="D222" s="100"/>
      <c r="E222" s="100"/>
    </row>
    <row r="223" spans="1:5">
      <c r="A223" s="12" t="s">
        <v>947</v>
      </c>
      <c r="B223" s="11" t="s">
        <v>946</v>
      </c>
      <c r="C223" s="3" t="s">
        <v>945</v>
      </c>
    </row>
    <row r="224" spans="1:5">
      <c r="A224" s="12" t="s">
        <v>950</v>
      </c>
      <c r="B224" s="11" t="s">
        <v>949</v>
      </c>
      <c r="C224" s="3" t="s">
        <v>948</v>
      </c>
      <c r="D224" s="3" t="s">
        <v>819</v>
      </c>
    </row>
    <row r="225" spans="1:5">
      <c r="A225" s="12" t="s">
        <v>953</v>
      </c>
      <c r="B225" s="11" t="s">
        <v>952</v>
      </c>
      <c r="C225" s="3" t="s">
        <v>951</v>
      </c>
    </row>
    <row r="226" spans="1:5">
      <c r="A226" s="12" t="s">
        <v>956</v>
      </c>
      <c r="B226" s="11" t="s">
        <v>955</v>
      </c>
      <c r="C226" s="3" t="s">
        <v>954</v>
      </c>
    </row>
    <row r="227" spans="1:5">
      <c r="A227" s="12" t="s">
        <v>959</v>
      </c>
      <c r="B227" s="11" t="s">
        <v>958</v>
      </c>
      <c r="C227" s="3" t="s">
        <v>957</v>
      </c>
    </row>
    <row r="228" spans="1:5">
      <c r="A228" s="12" t="s">
        <v>962</v>
      </c>
      <c r="B228" s="11" t="s">
        <v>961</v>
      </c>
      <c r="C228" s="3" t="s">
        <v>960</v>
      </c>
    </row>
    <row r="229" spans="1:5">
      <c r="A229" s="12" t="s">
        <v>965</v>
      </c>
      <c r="B229" s="11" t="s">
        <v>964</v>
      </c>
      <c r="C229" s="3" t="s">
        <v>963</v>
      </c>
      <c r="E229" s="3" t="s">
        <v>966</v>
      </c>
    </row>
    <row r="230" spans="1:5">
      <c r="A230" s="12" t="s">
        <v>969</v>
      </c>
      <c r="B230" s="11" t="s">
        <v>968</v>
      </c>
      <c r="C230" s="3" t="s">
        <v>967</v>
      </c>
    </row>
    <row r="231" spans="1:5">
      <c r="A231" s="12" t="s">
        <v>972</v>
      </c>
      <c r="B231" s="11" t="s">
        <v>971</v>
      </c>
      <c r="C231" s="3" t="s">
        <v>970</v>
      </c>
    </row>
    <row r="232" spans="1:5">
      <c r="A232" s="12" t="s">
        <v>975</v>
      </c>
      <c r="B232" s="11" t="s">
        <v>974</v>
      </c>
      <c r="C232" s="3" t="s">
        <v>973</v>
      </c>
    </row>
    <row r="233" spans="1:5">
      <c r="A233" s="12" t="s">
        <v>978</v>
      </c>
      <c r="B233" s="11" t="s">
        <v>977</v>
      </c>
      <c r="C233" s="3" t="s">
        <v>976</v>
      </c>
    </row>
    <row r="234" spans="1:5">
      <c r="A234" s="12" t="s">
        <v>981</v>
      </c>
      <c r="B234" s="11" t="s">
        <v>980</v>
      </c>
      <c r="C234" s="3" t="s">
        <v>979</v>
      </c>
    </row>
    <row r="235" spans="1:5">
      <c r="A235" s="12" t="s">
        <v>984</v>
      </c>
      <c r="B235" s="11" t="s">
        <v>983</v>
      </c>
      <c r="C235" s="3" t="s">
        <v>982</v>
      </c>
    </row>
    <row r="236" spans="1:5" ht="21">
      <c r="A236" s="100">
        <v>42389</v>
      </c>
      <c r="B236" s="100"/>
      <c r="C236" s="100"/>
      <c r="D236" s="100"/>
      <c r="E236" s="100"/>
    </row>
    <row r="237" spans="1:5">
      <c r="A237" s="12" t="s">
        <v>987</v>
      </c>
      <c r="B237" s="11" t="s">
        <v>986</v>
      </c>
      <c r="C237" s="3" t="s">
        <v>985</v>
      </c>
    </row>
    <row r="238" spans="1:5">
      <c r="A238" s="12" t="s">
        <v>990</v>
      </c>
      <c r="B238" s="11" t="s">
        <v>989</v>
      </c>
      <c r="C238" s="3" t="s">
        <v>988</v>
      </c>
    </row>
    <row r="239" spans="1:5">
      <c r="A239" s="12" t="s">
        <v>992</v>
      </c>
      <c r="B239" s="3" t="s">
        <v>991</v>
      </c>
      <c r="C239" s="3" t="s">
        <v>422</v>
      </c>
    </row>
    <row r="240" spans="1:5">
      <c r="A240" s="12" t="s">
        <v>995</v>
      </c>
      <c r="B240" s="11" t="s">
        <v>994</v>
      </c>
      <c r="C240" s="3" t="s">
        <v>993</v>
      </c>
    </row>
    <row r="241" spans="1:5">
      <c r="A241" s="12" t="s">
        <v>998</v>
      </c>
      <c r="B241" s="11" t="s">
        <v>997</v>
      </c>
      <c r="C241" s="3" t="s">
        <v>996</v>
      </c>
    </row>
    <row r="242" spans="1:5">
      <c r="A242" s="12" t="s">
        <v>1001</v>
      </c>
      <c r="B242" s="11" t="s">
        <v>1000</v>
      </c>
      <c r="C242" s="3" t="s">
        <v>999</v>
      </c>
    </row>
    <row r="243" spans="1:5">
      <c r="A243" s="12" t="s">
        <v>1004</v>
      </c>
      <c r="B243" s="11" t="s">
        <v>1003</v>
      </c>
      <c r="C243" s="3" t="s">
        <v>1002</v>
      </c>
    </row>
    <row r="244" spans="1:5">
      <c r="A244" s="12" t="s">
        <v>1007</v>
      </c>
      <c r="B244" s="11" t="s">
        <v>1006</v>
      </c>
      <c r="C244" s="3" t="s">
        <v>1005</v>
      </c>
    </row>
    <row r="245" spans="1:5">
      <c r="A245" s="12" t="s">
        <v>1010</v>
      </c>
      <c r="B245" s="11" t="s">
        <v>1009</v>
      </c>
      <c r="C245" s="3" t="s">
        <v>1008</v>
      </c>
    </row>
    <row r="246" spans="1:5">
      <c r="A246" s="12" t="s">
        <v>1013</v>
      </c>
      <c r="B246" s="11" t="s">
        <v>1012</v>
      </c>
      <c r="C246" s="3" t="s">
        <v>1011</v>
      </c>
    </row>
    <row r="247" spans="1:5">
      <c r="A247" s="12" t="s">
        <v>1015</v>
      </c>
      <c r="B247" s="11" t="s">
        <v>1014</v>
      </c>
      <c r="C247" s="3" t="s">
        <v>637</v>
      </c>
    </row>
    <row r="248" spans="1:5" ht="21">
      <c r="A248" s="100">
        <v>42390</v>
      </c>
      <c r="B248" s="100"/>
      <c r="C248" s="100"/>
      <c r="D248" s="100"/>
      <c r="E248" s="100"/>
    </row>
    <row r="249" spans="1:5">
      <c r="A249" s="12" t="s">
        <v>1018</v>
      </c>
      <c r="B249" s="11" t="s">
        <v>1017</v>
      </c>
      <c r="C249" s="3" t="s">
        <v>1016</v>
      </c>
    </row>
    <row r="250" spans="1:5">
      <c r="A250" s="12" t="s">
        <v>1021</v>
      </c>
      <c r="B250" s="11" t="s">
        <v>1020</v>
      </c>
      <c r="C250" s="3" t="s">
        <v>1019</v>
      </c>
    </row>
    <row r="251" spans="1:5">
      <c r="A251" s="12" t="s">
        <v>551</v>
      </c>
      <c r="B251" s="11" t="s">
        <v>550</v>
      </c>
      <c r="C251" s="3" t="s">
        <v>549</v>
      </c>
    </row>
    <row r="252" spans="1:5">
      <c r="A252" s="12" t="s">
        <v>669</v>
      </c>
      <c r="B252" s="11" t="s">
        <v>1022</v>
      </c>
      <c r="C252" s="3" t="s">
        <v>667</v>
      </c>
    </row>
    <row r="253" spans="1:5">
      <c r="A253" s="12" t="s">
        <v>1025</v>
      </c>
      <c r="B253" s="11" t="s">
        <v>1024</v>
      </c>
      <c r="C253" s="3" t="s">
        <v>1023</v>
      </c>
    </row>
    <row r="254" spans="1:5">
      <c r="A254" s="12" t="s">
        <v>657</v>
      </c>
      <c r="B254" s="11" t="s">
        <v>656</v>
      </c>
      <c r="C254" s="3" t="s">
        <v>503</v>
      </c>
    </row>
    <row r="255" spans="1:5">
      <c r="A255" s="12" t="s">
        <v>500</v>
      </c>
      <c r="B255" s="11" t="s">
        <v>499</v>
      </c>
      <c r="C255" s="3" t="s">
        <v>498</v>
      </c>
    </row>
    <row r="256" spans="1:5">
      <c r="A256" s="12" t="s">
        <v>1027</v>
      </c>
      <c r="B256" s="11" t="s">
        <v>1026</v>
      </c>
      <c r="C256" s="3" t="s">
        <v>504</v>
      </c>
    </row>
    <row r="257" spans="1:5">
      <c r="A257" s="12" t="s">
        <v>1029</v>
      </c>
      <c r="B257" s="11" t="s">
        <v>1028</v>
      </c>
      <c r="C257" s="3" t="s">
        <v>502</v>
      </c>
    </row>
    <row r="258" spans="1:5">
      <c r="A258" s="12" t="s">
        <v>1032</v>
      </c>
      <c r="B258" s="11" t="s">
        <v>1031</v>
      </c>
      <c r="C258" s="3" t="s">
        <v>1030</v>
      </c>
    </row>
    <row r="259" spans="1:5">
      <c r="A259" s="12" t="s">
        <v>1035</v>
      </c>
      <c r="B259" s="11" t="s">
        <v>1034</v>
      </c>
      <c r="C259" s="3" t="s">
        <v>1033</v>
      </c>
    </row>
    <row r="260" spans="1:5">
      <c r="A260" s="12" t="s">
        <v>934</v>
      </c>
      <c r="B260" s="11" t="s">
        <v>933</v>
      </c>
      <c r="C260" s="3" t="s">
        <v>1036</v>
      </c>
    </row>
    <row r="261" spans="1:5">
      <c r="A261" s="12" t="s">
        <v>541</v>
      </c>
      <c r="B261" s="11" t="s">
        <v>540</v>
      </c>
      <c r="C261" s="3" t="s">
        <v>539</v>
      </c>
    </row>
    <row r="262" spans="1:5">
      <c r="A262" s="12" t="s">
        <v>1039</v>
      </c>
      <c r="B262" s="11" t="s">
        <v>1038</v>
      </c>
      <c r="C262" s="3" t="s">
        <v>1037</v>
      </c>
    </row>
    <row r="263" spans="1:5">
      <c r="A263" s="12" t="s">
        <v>1042</v>
      </c>
      <c r="B263" s="11" t="s">
        <v>1041</v>
      </c>
      <c r="C263" s="3" t="s">
        <v>1040</v>
      </c>
    </row>
    <row r="264" spans="1:5">
      <c r="A264" s="12" t="s">
        <v>541</v>
      </c>
      <c r="B264" s="11" t="s">
        <v>540</v>
      </c>
      <c r="C264" s="3" t="s">
        <v>539</v>
      </c>
      <c r="D264" s="3" t="s">
        <v>1043</v>
      </c>
    </row>
    <row r="265" spans="1:5">
      <c r="A265" s="12" t="s">
        <v>1046</v>
      </c>
      <c r="B265" s="11" t="s">
        <v>1045</v>
      </c>
      <c r="C265" s="3" t="s">
        <v>1044</v>
      </c>
    </row>
    <row r="266" spans="1:5">
      <c r="A266" s="12" t="s">
        <v>1049</v>
      </c>
      <c r="B266" s="11" t="s">
        <v>1048</v>
      </c>
      <c r="C266" s="3" t="s">
        <v>1047</v>
      </c>
    </row>
    <row r="267" spans="1:5">
      <c r="A267" s="12" t="s">
        <v>1051</v>
      </c>
      <c r="B267" s="11" t="s">
        <v>1050</v>
      </c>
      <c r="C267" s="3" t="s">
        <v>935</v>
      </c>
    </row>
    <row r="268" spans="1:5" ht="21">
      <c r="A268" s="100">
        <v>42391</v>
      </c>
      <c r="B268" s="100"/>
      <c r="C268" s="100"/>
      <c r="D268" s="100"/>
      <c r="E268" s="100"/>
    </row>
    <row r="269" spans="1:5">
      <c r="A269" s="12" t="s">
        <v>1053</v>
      </c>
      <c r="B269" s="11" t="s">
        <v>1052</v>
      </c>
      <c r="C269" s="3" t="s">
        <v>640</v>
      </c>
    </row>
    <row r="270" spans="1:5">
      <c r="A270" s="12" t="s">
        <v>1056</v>
      </c>
      <c r="B270" s="11" t="s">
        <v>1055</v>
      </c>
      <c r="C270" s="3" t="s">
        <v>1054</v>
      </c>
    </row>
    <row r="271" spans="1:5">
      <c r="A271" s="12" t="s">
        <v>1059</v>
      </c>
      <c r="B271" s="11" t="s">
        <v>1058</v>
      </c>
      <c r="C271" s="3" t="s">
        <v>1057</v>
      </c>
    </row>
    <row r="272" spans="1:5">
      <c r="A272" s="12" t="s">
        <v>1062</v>
      </c>
      <c r="B272" s="11" t="s">
        <v>1061</v>
      </c>
      <c r="C272" s="3" t="s">
        <v>1060</v>
      </c>
    </row>
    <row r="273" spans="1:4">
      <c r="A273" s="12" t="s">
        <v>1065</v>
      </c>
      <c r="B273" s="11" t="s">
        <v>1064</v>
      </c>
      <c r="C273" s="3" t="s">
        <v>1063</v>
      </c>
    </row>
    <row r="274" spans="1:4">
      <c r="A274" s="12" t="s">
        <v>1069</v>
      </c>
      <c r="B274" s="11" t="s">
        <v>1068</v>
      </c>
      <c r="C274" s="3" t="s">
        <v>1066</v>
      </c>
      <c r="D274" s="3" t="s">
        <v>1067</v>
      </c>
    </row>
    <row r="275" spans="1:4">
      <c r="A275" s="12" t="s">
        <v>800</v>
      </c>
      <c r="B275" s="11" t="s">
        <v>799</v>
      </c>
      <c r="C275" s="3" t="s">
        <v>798</v>
      </c>
    </row>
    <row r="276" spans="1:4">
      <c r="A276" s="12" t="s">
        <v>1073</v>
      </c>
      <c r="B276" s="11" t="s">
        <v>1072</v>
      </c>
      <c r="C276" s="3" t="s">
        <v>1071</v>
      </c>
      <c r="D276" s="3" t="s">
        <v>1070</v>
      </c>
    </row>
    <row r="277" spans="1:4">
      <c r="A277" s="12" t="s">
        <v>618</v>
      </c>
      <c r="B277" s="11" t="s">
        <v>617</v>
      </c>
      <c r="C277" s="3" t="s">
        <v>616</v>
      </c>
    </row>
    <row r="278" spans="1:4">
      <c r="A278" s="12" t="s">
        <v>1076</v>
      </c>
      <c r="B278" s="11" t="s">
        <v>1075</v>
      </c>
      <c r="C278" s="3" t="s">
        <v>1074</v>
      </c>
    </row>
    <row r="279" spans="1:4">
      <c r="A279" s="12" t="s">
        <v>752</v>
      </c>
      <c r="B279" s="11" t="s">
        <v>751</v>
      </c>
      <c r="C279" s="3" t="s">
        <v>750</v>
      </c>
    </row>
    <row r="280" spans="1:4">
      <c r="A280" s="12" t="s">
        <v>1079</v>
      </c>
      <c r="B280" s="11" t="s">
        <v>1078</v>
      </c>
      <c r="C280" s="3" t="s">
        <v>1077</v>
      </c>
    </row>
    <row r="281" spans="1:4">
      <c r="A281" s="12" t="s">
        <v>1082</v>
      </c>
      <c r="B281" s="11" t="s">
        <v>1081</v>
      </c>
      <c r="C281" s="3" t="s">
        <v>1080</v>
      </c>
    </row>
    <row r="282" spans="1:4">
      <c r="A282" s="12" t="s">
        <v>1085</v>
      </c>
      <c r="B282" s="11" t="s">
        <v>1084</v>
      </c>
      <c r="C282" s="3" t="s">
        <v>1083</v>
      </c>
    </row>
    <row r="283" spans="1:4">
      <c r="A283" s="12" t="s">
        <v>450</v>
      </c>
      <c r="B283" s="11" t="s">
        <v>449</v>
      </c>
      <c r="C283" s="3" t="s">
        <v>1086</v>
      </c>
    </row>
    <row r="284" spans="1:4">
      <c r="A284" s="12" t="s">
        <v>1089</v>
      </c>
      <c r="B284" s="11" t="s">
        <v>1088</v>
      </c>
      <c r="C284" s="3" t="s">
        <v>1087</v>
      </c>
    </row>
    <row r="285" spans="1:4">
      <c r="A285" s="12" t="s">
        <v>473</v>
      </c>
      <c r="B285" s="11" t="s">
        <v>472</v>
      </c>
      <c r="C285" s="3" t="s">
        <v>471</v>
      </c>
    </row>
    <row r="286" spans="1:4">
      <c r="A286" s="12" t="s">
        <v>1092</v>
      </c>
      <c r="B286" s="11" t="s">
        <v>1091</v>
      </c>
      <c r="C286" s="3" t="s">
        <v>1090</v>
      </c>
    </row>
    <row r="287" spans="1:4">
      <c r="A287" s="12" t="s">
        <v>1095</v>
      </c>
      <c r="B287" s="11" t="s">
        <v>1094</v>
      </c>
      <c r="C287" s="3" t="s">
        <v>1093</v>
      </c>
    </row>
    <row r="288" spans="1:4">
      <c r="A288" s="12" t="s">
        <v>1098</v>
      </c>
      <c r="B288" s="11" t="s">
        <v>1097</v>
      </c>
      <c r="C288" s="3" t="s">
        <v>1096</v>
      </c>
    </row>
    <row r="289" spans="1:5">
      <c r="A289" s="12" t="s">
        <v>1100</v>
      </c>
      <c r="B289" s="11" t="s">
        <v>1099</v>
      </c>
      <c r="C289" s="3" t="s">
        <v>587</v>
      </c>
    </row>
    <row r="290" spans="1:5">
      <c r="A290" s="12" t="s">
        <v>1102</v>
      </c>
      <c r="B290" s="11" t="s">
        <v>1101</v>
      </c>
      <c r="C290" s="3" t="s">
        <v>506</v>
      </c>
    </row>
    <row r="291" spans="1:5" ht="21">
      <c r="A291" s="100">
        <v>42393</v>
      </c>
      <c r="B291" s="100"/>
      <c r="C291" s="100"/>
      <c r="D291" s="100"/>
      <c r="E291" s="100"/>
    </row>
    <row r="292" spans="1:5">
      <c r="A292" s="12" t="s">
        <v>1105</v>
      </c>
      <c r="B292" s="11" t="s">
        <v>1104</v>
      </c>
      <c r="C292" s="3" t="s">
        <v>1103</v>
      </c>
    </row>
    <row r="293" spans="1:5">
      <c r="A293" s="12" t="s">
        <v>450</v>
      </c>
      <c r="B293" s="11" t="s">
        <v>449</v>
      </c>
      <c r="C293" s="3" t="s">
        <v>448</v>
      </c>
    </row>
    <row r="294" spans="1:5">
      <c r="A294" s="12" t="s">
        <v>1108</v>
      </c>
      <c r="B294" s="11" t="s">
        <v>1107</v>
      </c>
      <c r="C294" s="3" t="s">
        <v>1106</v>
      </c>
    </row>
    <row r="295" spans="1:5">
      <c r="A295" s="12" t="s">
        <v>1110</v>
      </c>
      <c r="B295" s="11" t="s">
        <v>1109</v>
      </c>
      <c r="C295" s="3" t="s">
        <v>883</v>
      </c>
    </row>
    <row r="296" spans="1:5">
      <c r="A296" s="12" t="s">
        <v>1113</v>
      </c>
      <c r="B296" s="11" t="s">
        <v>1112</v>
      </c>
      <c r="C296" s="3" t="s">
        <v>1111</v>
      </c>
    </row>
    <row r="297" spans="1:5">
      <c r="A297" s="12" t="s">
        <v>762</v>
      </c>
      <c r="B297" s="11" t="s">
        <v>761</v>
      </c>
      <c r="C297" s="3" t="s">
        <v>760</v>
      </c>
    </row>
    <row r="298" spans="1:5">
      <c r="A298" s="12" t="s">
        <v>1116</v>
      </c>
      <c r="B298" s="11" t="s">
        <v>1115</v>
      </c>
      <c r="C298" s="3" t="s">
        <v>1114</v>
      </c>
    </row>
    <row r="299" spans="1:5">
      <c r="A299" s="12" t="s">
        <v>1119</v>
      </c>
      <c r="B299" s="11" t="s">
        <v>1118</v>
      </c>
      <c r="C299" s="3" t="s">
        <v>1117</v>
      </c>
    </row>
    <row r="300" spans="1:5" ht="21">
      <c r="A300" s="100">
        <v>42394</v>
      </c>
      <c r="B300" s="100"/>
      <c r="C300" s="100"/>
      <c r="D300" s="100"/>
      <c r="E300" s="100"/>
    </row>
    <row r="301" spans="1:5">
      <c r="A301" s="12" t="s">
        <v>1121</v>
      </c>
      <c r="B301" s="11" t="s">
        <v>1120</v>
      </c>
      <c r="C301" s="3" t="s">
        <v>1077</v>
      </c>
    </row>
    <row r="302" spans="1:5">
      <c r="A302" s="12" t="s">
        <v>1123</v>
      </c>
      <c r="B302" s="11" t="s">
        <v>1122</v>
      </c>
      <c r="C302" s="3" t="s">
        <v>1093</v>
      </c>
    </row>
    <row r="303" spans="1:5">
      <c r="A303" s="12" t="s">
        <v>646</v>
      </c>
      <c r="B303" s="11" t="s">
        <v>645</v>
      </c>
      <c r="C303" s="3" t="s">
        <v>644</v>
      </c>
      <c r="D303" s="3" t="s">
        <v>1124</v>
      </c>
      <c r="E303" s="3" t="s">
        <v>1125</v>
      </c>
    </row>
    <row r="304" spans="1:5">
      <c r="A304" s="12" t="s">
        <v>1128</v>
      </c>
      <c r="B304" s="11" t="s">
        <v>1127</v>
      </c>
      <c r="C304" s="3" t="s">
        <v>1126</v>
      </c>
    </row>
    <row r="305" spans="1:5">
      <c r="A305" s="12" t="s">
        <v>1131</v>
      </c>
      <c r="B305" s="11" t="s">
        <v>1130</v>
      </c>
      <c r="C305" s="3" t="s">
        <v>1129</v>
      </c>
    </row>
    <row r="306" spans="1:5">
      <c r="A306" s="12" t="s">
        <v>1134</v>
      </c>
      <c r="B306" s="11" t="s">
        <v>1133</v>
      </c>
      <c r="C306" s="3" t="s">
        <v>1132</v>
      </c>
    </row>
    <row r="307" spans="1:5">
      <c r="A307" s="12" t="s">
        <v>908</v>
      </c>
      <c r="B307" s="11" t="s">
        <v>907</v>
      </c>
      <c r="C307" s="3" t="s">
        <v>906</v>
      </c>
    </row>
    <row r="308" spans="1:5">
      <c r="A308" s="12" t="s">
        <v>1137</v>
      </c>
      <c r="B308" s="11" t="s">
        <v>1136</v>
      </c>
      <c r="C308" s="3" t="s">
        <v>1135</v>
      </c>
    </row>
    <row r="309" spans="1:5">
      <c r="A309" s="12" t="s">
        <v>1140</v>
      </c>
      <c r="B309" s="11" t="s">
        <v>1139</v>
      </c>
      <c r="C309" s="3" t="s">
        <v>1138</v>
      </c>
    </row>
    <row r="310" spans="1:5">
      <c r="A310" s="12" t="s">
        <v>1143</v>
      </c>
      <c r="B310" s="11" t="s">
        <v>1142</v>
      </c>
      <c r="C310" s="3" t="s">
        <v>1141</v>
      </c>
    </row>
    <row r="311" spans="1:5">
      <c r="A311" s="12" t="s">
        <v>1145</v>
      </c>
      <c r="B311" s="11" t="s">
        <v>1144</v>
      </c>
      <c r="C311" s="3" t="s">
        <v>954</v>
      </c>
    </row>
    <row r="312" spans="1:5">
      <c r="A312" s="12" t="s">
        <v>1143</v>
      </c>
      <c r="B312" s="11" t="s">
        <v>1142</v>
      </c>
      <c r="C312" s="3" t="s">
        <v>1141</v>
      </c>
    </row>
    <row r="313" spans="1:5">
      <c r="A313" s="12" t="s">
        <v>1148</v>
      </c>
      <c r="B313" s="11" t="s">
        <v>1147</v>
      </c>
      <c r="C313" s="3" t="s">
        <v>1146</v>
      </c>
    </row>
    <row r="314" spans="1:5">
      <c r="A314" s="12" t="s">
        <v>1151</v>
      </c>
      <c r="B314" s="11" t="s">
        <v>1150</v>
      </c>
      <c r="C314" s="3" t="s">
        <v>1149</v>
      </c>
    </row>
    <row r="315" spans="1:5">
      <c r="A315" s="12" t="s">
        <v>978</v>
      </c>
      <c r="B315" s="11" t="s">
        <v>977</v>
      </c>
      <c r="C315" s="3" t="s">
        <v>976</v>
      </c>
    </row>
    <row r="316" spans="1:5">
      <c r="A316" s="12" t="s">
        <v>762</v>
      </c>
      <c r="B316" s="11" t="s">
        <v>761</v>
      </c>
      <c r="C316" s="3" t="s">
        <v>760</v>
      </c>
    </row>
    <row r="317" spans="1:5">
      <c r="A317" s="12" t="s">
        <v>1154</v>
      </c>
      <c r="B317" s="11" t="s">
        <v>1153</v>
      </c>
      <c r="C317" s="3" t="s">
        <v>1152</v>
      </c>
    </row>
    <row r="318" spans="1:5">
      <c r="A318" s="12" t="s">
        <v>705</v>
      </c>
      <c r="B318" s="11" t="s">
        <v>704</v>
      </c>
      <c r="C318" s="3" t="s">
        <v>1155</v>
      </c>
    </row>
    <row r="319" spans="1:5" ht="21">
      <c r="A319" s="100">
        <v>42395</v>
      </c>
      <c r="B319" s="100"/>
      <c r="C319" s="100"/>
      <c r="D319" s="100"/>
      <c r="E319" s="100"/>
    </row>
    <row r="320" spans="1:5">
      <c r="A320" s="12" t="s">
        <v>1158</v>
      </c>
      <c r="B320" s="11" t="s">
        <v>1157</v>
      </c>
      <c r="C320" s="3" t="s">
        <v>1156</v>
      </c>
    </row>
    <row r="321" spans="1:5">
      <c r="A321" s="12" t="s">
        <v>1161</v>
      </c>
      <c r="B321" s="11" t="s">
        <v>1160</v>
      </c>
      <c r="C321" s="3" t="s">
        <v>1159</v>
      </c>
    </row>
    <row r="322" spans="1:5">
      <c r="A322" s="12" t="s">
        <v>1164</v>
      </c>
      <c r="B322" s="11" t="s">
        <v>1163</v>
      </c>
      <c r="C322" s="3" t="s">
        <v>1162</v>
      </c>
    </row>
    <row r="323" spans="1:5">
      <c r="A323" s="12" t="s">
        <v>1166</v>
      </c>
      <c r="B323" s="11" t="s">
        <v>1165</v>
      </c>
      <c r="C323" s="3" t="s">
        <v>1167</v>
      </c>
    </row>
    <row r="324" spans="1:5">
      <c r="A324" s="12" t="s">
        <v>1169</v>
      </c>
      <c r="B324" s="11" t="s">
        <v>1168</v>
      </c>
      <c r="C324" s="3" t="s">
        <v>870</v>
      </c>
      <c r="D324" s="3" t="s">
        <v>1170</v>
      </c>
    </row>
    <row r="325" spans="1:5">
      <c r="A325" s="12" t="s">
        <v>1173</v>
      </c>
      <c r="B325" s="11" t="s">
        <v>1172</v>
      </c>
      <c r="C325" s="3" t="s">
        <v>1171</v>
      </c>
    </row>
    <row r="326" spans="1:5">
      <c r="A326" s="12" t="s">
        <v>1056</v>
      </c>
      <c r="B326" s="11" t="s">
        <v>1055</v>
      </c>
      <c r="C326" s="3" t="s">
        <v>1174</v>
      </c>
      <c r="E326" s="3" t="s">
        <v>1175</v>
      </c>
    </row>
    <row r="327" spans="1:5">
      <c r="A327" s="12" t="s">
        <v>1178</v>
      </c>
      <c r="B327" s="11" t="s">
        <v>1177</v>
      </c>
      <c r="C327" s="3" t="s">
        <v>1176</v>
      </c>
    </row>
    <row r="328" spans="1:5">
      <c r="A328" s="12" t="s">
        <v>1181</v>
      </c>
      <c r="B328" s="11" t="s">
        <v>1180</v>
      </c>
      <c r="C328" s="3" t="s">
        <v>1179</v>
      </c>
    </row>
    <row r="329" spans="1:5">
      <c r="A329" s="12" t="s">
        <v>1069</v>
      </c>
      <c r="B329" s="11" t="s">
        <v>1182</v>
      </c>
      <c r="C329" s="3" t="s">
        <v>1066</v>
      </c>
    </row>
    <row r="330" spans="1:5">
      <c r="A330" s="12" t="s">
        <v>624</v>
      </c>
      <c r="B330" s="11" t="s">
        <v>623</v>
      </c>
      <c r="C330" s="3" t="s">
        <v>1183</v>
      </c>
    </row>
    <row r="331" spans="1:5">
      <c r="A331" s="12" t="s">
        <v>624</v>
      </c>
      <c r="B331" s="11" t="s">
        <v>623</v>
      </c>
      <c r="C331" s="3" t="s">
        <v>622</v>
      </c>
    </row>
    <row r="332" spans="1:5">
      <c r="A332" s="12" t="s">
        <v>1186</v>
      </c>
      <c r="B332" s="11" t="s">
        <v>1185</v>
      </c>
      <c r="C332" s="3" t="s">
        <v>1184</v>
      </c>
    </row>
    <row r="333" spans="1:5">
      <c r="A333" s="12" t="s">
        <v>1188</v>
      </c>
      <c r="B333" s="11" t="s">
        <v>1187</v>
      </c>
      <c r="C333" s="3" t="s">
        <v>1086</v>
      </c>
    </row>
    <row r="334" spans="1:5">
      <c r="A334" s="12" t="s">
        <v>878</v>
      </c>
      <c r="B334" s="11" t="s">
        <v>1189</v>
      </c>
      <c r="C334" s="3" t="s">
        <v>876</v>
      </c>
    </row>
    <row r="335" spans="1:5">
      <c r="A335" s="12" t="s">
        <v>1192</v>
      </c>
      <c r="B335" s="11" t="s">
        <v>1191</v>
      </c>
      <c r="C335" s="3" t="s">
        <v>1190</v>
      </c>
    </row>
    <row r="336" spans="1:5">
      <c r="A336" s="12" t="s">
        <v>1195</v>
      </c>
      <c r="B336" s="11" t="s">
        <v>1194</v>
      </c>
      <c r="C336" s="3" t="s">
        <v>1193</v>
      </c>
    </row>
    <row r="337" spans="1:5">
      <c r="A337" s="12" t="s">
        <v>1198</v>
      </c>
      <c r="B337" s="11" t="s">
        <v>1197</v>
      </c>
      <c r="C337" s="3" t="s">
        <v>1196</v>
      </c>
    </row>
    <row r="338" spans="1:5" s="7" customFormat="1">
      <c r="A338" s="85" t="s">
        <v>1202</v>
      </c>
      <c r="B338" s="86" t="s">
        <v>1201</v>
      </c>
      <c r="C338" s="87" t="s">
        <v>1199</v>
      </c>
      <c r="D338" s="87" t="s">
        <v>1200</v>
      </c>
      <c r="E338" s="87"/>
    </row>
    <row r="339" spans="1:5">
      <c r="A339" s="12" t="s">
        <v>1205</v>
      </c>
      <c r="B339" s="11" t="s">
        <v>1204</v>
      </c>
      <c r="C339" s="3" t="s">
        <v>1203</v>
      </c>
    </row>
    <row r="340" spans="1:5">
      <c r="A340" s="12" t="s">
        <v>959</v>
      </c>
      <c r="B340" s="11" t="s">
        <v>958</v>
      </c>
      <c r="C340" s="3" t="s">
        <v>957</v>
      </c>
    </row>
    <row r="341" spans="1:5">
      <c r="A341" s="12" t="s">
        <v>649</v>
      </c>
      <c r="B341" s="11" t="s">
        <v>648</v>
      </c>
      <c r="C341" s="3" t="s">
        <v>647</v>
      </c>
    </row>
    <row r="342" spans="1:5">
      <c r="A342" s="12" t="s">
        <v>1208</v>
      </c>
      <c r="B342" s="11" t="s">
        <v>1207</v>
      </c>
      <c r="C342" s="3" t="s">
        <v>1206</v>
      </c>
    </row>
    <row r="343" spans="1:5" ht="21">
      <c r="A343" s="100">
        <v>42396</v>
      </c>
      <c r="B343" s="100"/>
      <c r="C343" s="100"/>
      <c r="D343" s="100"/>
      <c r="E343" s="100"/>
    </row>
    <row r="344" spans="1:5">
      <c r="A344" s="12" t="s">
        <v>1211</v>
      </c>
      <c r="B344" s="11" t="s">
        <v>1210</v>
      </c>
      <c r="C344" s="3" t="s">
        <v>1209</v>
      </c>
    </row>
    <row r="345" spans="1:5">
      <c r="A345" s="12" t="s">
        <v>1214</v>
      </c>
      <c r="B345" s="11" t="s">
        <v>1213</v>
      </c>
      <c r="C345" s="3" t="s">
        <v>1212</v>
      </c>
    </row>
    <row r="346" spans="1:5">
      <c r="A346" s="12" t="s">
        <v>402</v>
      </c>
      <c r="B346" s="11" t="s">
        <v>401</v>
      </c>
      <c r="C346" s="3" t="s">
        <v>400</v>
      </c>
    </row>
    <row r="347" spans="1:5">
      <c r="A347" s="12" t="s">
        <v>1217</v>
      </c>
      <c r="B347" s="11" t="s">
        <v>1216</v>
      </c>
      <c r="C347" s="3" t="s">
        <v>1215</v>
      </c>
    </row>
    <row r="348" spans="1:5">
      <c r="A348" s="12" t="s">
        <v>1220</v>
      </c>
      <c r="B348" s="11" t="s">
        <v>1219</v>
      </c>
      <c r="C348" s="3" t="s">
        <v>1218</v>
      </c>
    </row>
    <row r="349" spans="1:5">
      <c r="A349" s="12" t="s">
        <v>1223</v>
      </c>
      <c r="B349" s="11" t="s">
        <v>1222</v>
      </c>
      <c r="C349" s="3" t="s">
        <v>1221</v>
      </c>
    </row>
    <row r="350" spans="1:5">
      <c r="A350" s="12" t="s">
        <v>1226</v>
      </c>
      <c r="B350" s="11" t="s">
        <v>1225</v>
      </c>
      <c r="C350" s="3" t="s">
        <v>1224</v>
      </c>
    </row>
    <row r="351" spans="1:5">
      <c r="A351" s="12" t="s">
        <v>1229</v>
      </c>
      <c r="B351" s="11" t="s">
        <v>1228</v>
      </c>
      <c r="C351" s="3" t="s">
        <v>1227</v>
      </c>
      <c r="D351" s="3" t="s">
        <v>1231</v>
      </c>
      <c r="E351" s="3" t="s">
        <v>1230</v>
      </c>
    </row>
    <row r="352" spans="1:5">
      <c r="A352" s="12" t="s">
        <v>1234</v>
      </c>
      <c r="B352" s="11" t="s">
        <v>1233</v>
      </c>
      <c r="C352" s="3" t="s">
        <v>1232</v>
      </c>
    </row>
    <row r="353" spans="1:5">
      <c r="A353" s="12" t="s">
        <v>693</v>
      </c>
      <c r="B353" s="11" t="s">
        <v>692</v>
      </c>
      <c r="C353" s="3" t="s">
        <v>691</v>
      </c>
    </row>
    <row r="354" spans="1:5">
      <c r="A354" s="12" t="s">
        <v>1134</v>
      </c>
      <c r="B354" s="11" t="s">
        <v>1133</v>
      </c>
      <c r="C354" s="3" t="s">
        <v>1132</v>
      </c>
    </row>
    <row r="355" spans="1:5">
      <c r="A355" s="12" t="s">
        <v>1237</v>
      </c>
      <c r="B355" s="11" t="s">
        <v>1236</v>
      </c>
      <c r="C355" s="3" t="s">
        <v>1235</v>
      </c>
    </row>
    <row r="356" spans="1:5">
      <c r="A356" s="12" t="s">
        <v>1240</v>
      </c>
      <c r="B356" s="11" t="s">
        <v>1239</v>
      </c>
      <c r="C356" s="3" t="s">
        <v>1238</v>
      </c>
    </row>
    <row r="357" spans="1:5">
      <c r="A357" s="12" t="s">
        <v>1166</v>
      </c>
      <c r="B357" s="11" t="s">
        <v>1165</v>
      </c>
      <c r="C357" s="3" t="s">
        <v>1167</v>
      </c>
    </row>
    <row r="358" spans="1:5">
      <c r="A358" s="12" t="s">
        <v>1243</v>
      </c>
      <c r="B358" s="11" t="s">
        <v>1242</v>
      </c>
      <c r="C358" s="3" t="s">
        <v>1241</v>
      </c>
    </row>
    <row r="359" spans="1:5">
      <c r="A359" s="12" t="s">
        <v>1246</v>
      </c>
      <c r="B359" s="11" t="s">
        <v>1245</v>
      </c>
      <c r="C359" s="3" t="s">
        <v>1244</v>
      </c>
    </row>
    <row r="360" spans="1:5" ht="21">
      <c r="A360" s="100">
        <v>42397</v>
      </c>
      <c r="B360" s="100"/>
      <c r="C360" s="100"/>
      <c r="D360" s="100"/>
      <c r="E360" s="100"/>
    </row>
    <row r="361" spans="1:5">
      <c r="A361" s="12" t="s">
        <v>1148</v>
      </c>
      <c r="B361" s="11" t="s">
        <v>1147</v>
      </c>
      <c r="C361" s="3" t="s">
        <v>1146</v>
      </c>
    </row>
    <row r="362" spans="1:5">
      <c r="A362" s="12" t="s">
        <v>1249</v>
      </c>
      <c r="B362" s="11" t="s">
        <v>1248</v>
      </c>
      <c r="C362" s="3" t="s">
        <v>1247</v>
      </c>
      <c r="E362" s="3" t="s">
        <v>1250</v>
      </c>
    </row>
    <row r="363" spans="1:5">
      <c r="A363" s="12" t="s">
        <v>1253</v>
      </c>
      <c r="B363" s="11" t="s">
        <v>1252</v>
      </c>
      <c r="C363" s="3" t="s">
        <v>1251</v>
      </c>
      <c r="D363" s="3" t="s">
        <v>1200</v>
      </c>
    </row>
    <row r="364" spans="1:5">
      <c r="A364" s="12" t="s">
        <v>1256</v>
      </c>
      <c r="B364" s="11" t="s">
        <v>1255</v>
      </c>
      <c r="C364" s="3" t="s">
        <v>1254</v>
      </c>
    </row>
    <row r="365" spans="1:5">
      <c r="A365" s="12" t="s">
        <v>1259</v>
      </c>
      <c r="B365" s="11" t="s">
        <v>1258</v>
      </c>
      <c r="C365" s="3" t="s">
        <v>1257</v>
      </c>
    </row>
    <row r="366" spans="1:5">
      <c r="A366" s="12" t="s">
        <v>1262</v>
      </c>
      <c r="B366" s="11" t="s">
        <v>1261</v>
      </c>
      <c r="C366" s="3" t="s">
        <v>1260</v>
      </c>
    </row>
    <row r="367" spans="1:5">
      <c r="A367" s="12" t="s">
        <v>1205</v>
      </c>
      <c r="B367" s="11" t="s">
        <v>1204</v>
      </c>
      <c r="C367" s="3" t="s">
        <v>1203</v>
      </c>
    </row>
    <row r="368" spans="1:5">
      <c r="A368" s="12" t="s">
        <v>1265</v>
      </c>
      <c r="B368" s="11" t="s">
        <v>1264</v>
      </c>
      <c r="C368" s="3" t="s">
        <v>1263</v>
      </c>
      <c r="E368" s="3" t="s">
        <v>1266</v>
      </c>
    </row>
    <row r="369" spans="1:5">
      <c r="A369" s="12" t="s">
        <v>1269</v>
      </c>
      <c r="B369" s="11" t="s">
        <v>1268</v>
      </c>
      <c r="C369" s="3" t="s">
        <v>1267</v>
      </c>
    </row>
    <row r="370" spans="1:5">
      <c r="A370" s="12" t="s">
        <v>1272</v>
      </c>
      <c r="B370" s="11" t="s">
        <v>1271</v>
      </c>
      <c r="C370" s="3" t="s">
        <v>1270</v>
      </c>
    </row>
    <row r="371" spans="1:5" ht="21">
      <c r="A371" s="100">
        <v>42400</v>
      </c>
      <c r="B371" s="100"/>
      <c r="C371" s="100"/>
      <c r="D371" s="100"/>
      <c r="E371" s="100"/>
    </row>
    <row r="372" spans="1:5">
      <c r="A372" s="12" t="s">
        <v>1275</v>
      </c>
      <c r="B372" s="11" t="s">
        <v>1274</v>
      </c>
      <c r="C372" s="3" t="s">
        <v>1273</v>
      </c>
    </row>
    <row r="373" spans="1:5">
      <c r="A373" s="12" t="s">
        <v>523</v>
      </c>
      <c r="B373" s="11" t="s">
        <v>522</v>
      </c>
      <c r="C373" s="3" t="s">
        <v>521</v>
      </c>
    </row>
    <row r="374" spans="1:5">
      <c r="A374" s="12" t="s">
        <v>818</v>
      </c>
      <c r="B374" s="11" t="s">
        <v>817</v>
      </c>
      <c r="C374" s="3" t="s">
        <v>816</v>
      </c>
    </row>
    <row r="375" spans="1:5">
      <c r="A375" s="12" t="s">
        <v>1277</v>
      </c>
      <c r="B375" s="11" t="s">
        <v>1276</v>
      </c>
      <c r="C375" s="3" t="s">
        <v>1278</v>
      </c>
    </row>
    <row r="376" spans="1:5">
      <c r="A376" s="12" t="s">
        <v>1131</v>
      </c>
      <c r="B376" s="11" t="s">
        <v>1130</v>
      </c>
      <c r="C376" s="3" t="s">
        <v>1129</v>
      </c>
    </row>
    <row r="377" spans="1:5">
      <c r="A377" s="12" t="s">
        <v>1280</v>
      </c>
      <c r="B377" s="11" t="s">
        <v>1279</v>
      </c>
      <c r="C377" s="3" t="s">
        <v>569</v>
      </c>
    </row>
    <row r="378" spans="1:5">
      <c r="A378" s="12" t="s">
        <v>1283</v>
      </c>
      <c r="B378" s="11" t="s">
        <v>1282</v>
      </c>
      <c r="C378" s="3" t="s">
        <v>1281</v>
      </c>
    </row>
    <row r="379" spans="1:5">
      <c r="A379" s="12" t="s">
        <v>1286</v>
      </c>
      <c r="B379" s="11" t="s">
        <v>1285</v>
      </c>
      <c r="C379" s="3" t="s">
        <v>1284</v>
      </c>
    </row>
    <row r="380" spans="1:5">
      <c r="A380" s="12" t="s">
        <v>1223</v>
      </c>
      <c r="B380" s="11" t="s">
        <v>1288</v>
      </c>
      <c r="C380" s="3" t="s">
        <v>1287</v>
      </c>
    </row>
    <row r="381" spans="1:5">
      <c r="A381" s="12" t="s">
        <v>1291</v>
      </c>
      <c r="B381" s="11" t="s">
        <v>1290</v>
      </c>
      <c r="C381" s="3" t="s">
        <v>1289</v>
      </c>
    </row>
    <row r="382" spans="1:5" s="91" customFormat="1">
      <c r="A382" s="88" t="s">
        <v>1223</v>
      </c>
      <c r="B382" s="89" t="s">
        <v>1288</v>
      </c>
      <c r="C382" s="90" t="s">
        <v>1221</v>
      </c>
      <c r="D382" s="90"/>
      <c r="E382" s="90" t="s">
        <v>1292</v>
      </c>
    </row>
    <row r="383" spans="1:5">
      <c r="A383" s="12" t="s">
        <v>1295</v>
      </c>
      <c r="B383" s="11" t="s">
        <v>1294</v>
      </c>
      <c r="C383" s="3" t="s">
        <v>1293</v>
      </c>
    </row>
    <row r="384" spans="1:5">
      <c r="A384" s="12" t="s">
        <v>1298</v>
      </c>
      <c r="B384" s="11" t="s">
        <v>1297</v>
      </c>
      <c r="C384" s="3" t="s">
        <v>1296</v>
      </c>
    </row>
    <row r="385" spans="1:5">
      <c r="A385" s="12" t="s">
        <v>1301</v>
      </c>
      <c r="B385" s="11" t="s">
        <v>1300</v>
      </c>
      <c r="C385" s="3" t="s">
        <v>1299</v>
      </c>
    </row>
    <row r="386" spans="1:5">
      <c r="A386" s="12" t="s">
        <v>1304</v>
      </c>
      <c r="B386" s="11" t="s">
        <v>1303</v>
      </c>
      <c r="C386" s="3" t="s">
        <v>1302</v>
      </c>
    </row>
    <row r="387" spans="1:5">
      <c r="A387" s="12" t="s">
        <v>389</v>
      </c>
      <c r="B387" s="11" t="s">
        <v>388</v>
      </c>
      <c r="C387" s="3" t="s">
        <v>387</v>
      </c>
      <c r="D387" s="3" t="s">
        <v>1200</v>
      </c>
      <c r="E387" s="3" t="s">
        <v>1305</v>
      </c>
    </row>
    <row r="388" spans="1:5">
      <c r="A388" s="12" t="s">
        <v>1308</v>
      </c>
      <c r="B388" s="11" t="s">
        <v>1307</v>
      </c>
      <c r="C388" s="3" t="s">
        <v>1306</v>
      </c>
    </row>
    <row r="389" spans="1:5">
      <c r="A389" s="12" t="s">
        <v>1311</v>
      </c>
      <c r="B389" s="11" t="s">
        <v>1310</v>
      </c>
      <c r="C389" s="3" t="s">
        <v>1309</v>
      </c>
    </row>
    <row r="390" spans="1:5" ht="21">
      <c r="A390" s="100">
        <v>42399</v>
      </c>
      <c r="B390" s="100"/>
      <c r="C390" s="100"/>
      <c r="D390" s="100"/>
      <c r="E390" s="100"/>
    </row>
    <row r="391" spans="1:5">
      <c r="A391" s="12" t="s">
        <v>1314</v>
      </c>
      <c r="B391" s="11" t="s">
        <v>1313</v>
      </c>
      <c r="C391" s="3" t="s">
        <v>1312</v>
      </c>
    </row>
    <row r="392" spans="1:5">
      <c r="A392" s="12" t="s">
        <v>1317</v>
      </c>
      <c r="B392" s="11" t="s">
        <v>1316</v>
      </c>
      <c r="C392" s="3" t="s">
        <v>1315</v>
      </c>
    </row>
    <row r="393" spans="1:5">
      <c r="A393" s="12" t="s">
        <v>1320</v>
      </c>
      <c r="B393" s="11" t="s">
        <v>1319</v>
      </c>
      <c r="C393" s="3" t="s">
        <v>1318</v>
      </c>
    </row>
    <row r="394" spans="1:5">
      <c r="A394" s="12" t="s">
        <v>1323</v>
      </c>
      <c r="B394" s="11" t="s">
        <v>1322</v>
      </c>
      <c r="C394" s="3" t="s">
        <v>1321</v>
      </c>
    </row>
    <row r="395" spans="1:5">
      <c r="A395" s="12" t="s">
        <v>1326</v>
      </c>
      <c r="B395" s="11" t="s">
        <v>1325</v>
      </c>
      <c r="C395" s="3" t="s">
        <v>1324</v>
      </c>
    </row>
    <row r="396" spans="1:5">
      <c r="A396" s="12" t="s">
        <v>1329</v>
      </c>
      <c r="B396" s="11" t="s">
        <v>1328</v>
      </c>
      <c r="C396" s="3" t="s">
        <v>1327</v>
      </c>
    </row>
    <row r="397" spans="1:5">
      <c r="A397" s="12" t="s">
        <v>1333</v>
      </c>
      <c r="B397" s="11" t="s">
        <v>1332</v>
      </c>
      <c r="C397" s="3" t="s">
        <v>1331</v>
      </c>
      <c r="E397" s="3" t="s">
        <v>1330</v>
      </c>
    </row>
    <row r="398" spans="1:5" ht="21">
      <c r="A398" s="100">
        <v>42400</v>
      </c>
      <c r="B398" s="100"/>
      <c r="C398" s="100"/>
      <c r="D398" s="100"/>
      <c r="E398" s="100"/>
    </row>
    <row r="399" spans="1:5">
      <c r="A399" s="12" t="s">
        <v>646</v>
      </c>
      <c r="B399" s="11" t="s">
        <v>645</v>
      </c>
      <c r="C399" s="3" t="s">
        <v>644</v>
      </c>
    </row>
    <row r="400" spans="1:5">
      <c r="A400" s="12" t="s">
        <v>1049</v>
      </c>
      <c r="B400" s="11" t="s">
        <v>1048</v>
      </c>
      <c r="C400" s="3" t="s">
        <v>1047</v>
      </c>
    </row>
    <row r="401" spans="1:5">
      <c r="A401" s="12" t="s">
        <v>1336</v>
      </c>
      <c r="B401" s="11" t="s">
        <v>1335</v>
      </c>
      <c r="C401" s="3" t="s">
        <v>1334</v>
      </c>
    </row>
    <row r="402" spans="1:5">
      <c r="A402" s="12" t="s">
        <v>878</v>
      </c>
      <c r="B402" s="11" t="s">
        <v>877</v>
      </c>
      <c r="C402" s="3" t="s">
        <v>876</v>
      </c>
    </row>
    <row r="403" spans="1:5">
      <c r="A403" s="12" t="s">
        <v>1339</v>
      </c>
      <c r="B403" s="11" t="s">
        <v>1338</v>
      </c>
      <c r="C403" s="3" t="s">
        <v>1337</v>
      </c>
    </row>
    <row r="404" spans="1:5" ht="21">
      <c r="A404" s="100">
        <v>42401</v>
      </c>
      <c r="B404" s="100"/>
      <c r="C404" s="100"/>
      <c r="D404" s="100"/>
      <c r="E404" s="100"/>
    </row>
    <row r="405" spans="1:5">
      <c r="A405" s="12" t="s">
        <v>975</v>
      </c>
      <c r="B405" s="11" t="s">
        <v>974</v>
      </c>
      <c r="C405" s="3" t="s">
        <v>973</v>
      </c>
    </row>
    <row r="406" spans="1:5">
      <c r="A406" s="12" t="s">
        <v>676</v>
      </c>
      <c r="B406" s="11" t="s">
        <v>675</v>
      </c>
      <c r="C406" s="3" t="s">
        <v>674</v>
      </c>
    </row>
    <row r="407" spans="1:5">
      <c r="A407" s="12" t="s">
        <v>676</v>
      </c>
      <c r="B407" s="11" t="s">
        <v>675</v>
      </c>
      <c r="C407" s="3" t="s">
        <v>673</v>
      </c>
    </row>
    <row r="408" spans="1:5">
      <c r="A408" s="12" t="s">
        <v>1343</v>
      </c>
      <c r="B408" s="11" t="s">
        <v>1342</v>
      </c>
      <c r="C408" s="3" t="s">
        <v>1341</v>
      </c>
    </row>
    <row r="409" spans="1:5">
      <c r="A409" s="12" t="s">
        <v>843</v>
      </c>
      <c r="B409" s="11" t="s">
        <v>842</v>
      </c>
      <c r="C409" s="3" t="s">
        <v>1344</v>
      </c>
    </row>
    <row r="410" spans="1:5">
      <c r="A410" s="12" t="s">
        <v>1347</v>
      </c>
      <c r="B410" s="11" t="s">
        <v>1346</v>
      </c>
      <c r="C410" s="3" t="s">
        <v>1345</v>
      </c>
    </row>
    <row r="411" spans="1:5">
      <c r="A411" s="12" t="s">
        <v>1350</v>
      </c>
      <c r="B411" s="11" t="s">
        <v>1349</v>
      </c>
      <c r="C411" s="3" t="s">
        <v>1348</v>
      </c>
    </row>
    <row r="412" spans="1:5">
      <c r="A412" s="12" t="s">
        <v>861</v>
      </c>
      <c r="B412" s="11" t="s">
        <v>860</v>
      </c>
      <c r="C412" s="3" t="s">
        <v>1351</v>
      </c>
      <c r="E412" t="s">
        <v>1352</v>
      </c>
    </row>
    <row r="413" spans="1:5">
      <c r="A413" s="12" t="s">
        <v>1355</v>
      </c>
      <c r="B413" s="11" t="s">
        <v>1354</v>
      </c>
      <c r="C413" s="3" t="s">
        <v>1353</v>
      </c>
    </row>
    <row r="414" spans="1:5">
      <c r="A414" s="12" t="s">
        <v>1357</v>
      </c>
      <c r="B414" s="11" t="s">
        <v>1356</v>
      </c>
      <c r="C414" s="3" t="s">
        <v>1179</v>
      </c>
    </row>
    <row r="415" spans="1:5">
      <c r="A415" s="12" t="s">
        <v>1143</v>
      </c>
      <c r="B415" s="11" t="s">
        <v>1358</v>
      </c>
      <c r="C415" s="3" t="s">
        <v>801</v>
      </c>
    </row>
    <row r="416" spans="1:5">
      <c r="A416" s="12" t="s">
        <v>861</v>
      </c>
      <c r="B416" s="11" t="s">
        <v>860</v>
      </c>
      <c r="C416" s="3" t="s">
        <v>1359</v>
      </c>
    </row>
    <row r="417" spans="1:5">
      <c r="A417" s="12" t="s">
        <v>742</v>
      </c>
      <c r="B417" s="11" t="s">
        <v>741</v>
      </c>
      <c r="C417" s="3" t="s">
        <v>1360</v>
      </c>
    </row>
    <row r="418" spans="1:5">
      <c r="A418" s="12" t="s">
        <v>1362</v>
      </c>
      <c r="B418" s="11" t="s">
        <v>1361</v>
      </c>
      <c r="C418" s="3" t="s">
        <v>1363</v>
      </c>
      <c r="E418" s="3" t="s">
        <v>1364</v>
      </c>
    </row>
    <row r="419" spans="1:5">
      <c r="A419" s="12" t="s">
        <v>1367</v>
      </c>
      <c r="B419" s="11" t="s">
        <v>1366</v>
      </c>
      <c r="C419" s="3" t="s">
        <v>1365</v>
      </c>
    </row>
    <row r="420" spans="1:5">
      <c r="A420" s="12" t="s">
        <v>1368</v>
      </c>
      <c r="B420" s="11" t="s">
        <v>1370</v>
      </c>
      <c r="C420" s="3" t="s">
        <v>1369</v>
      </c>
    </row>
    <row r="421" spans="1:5">
      <c r="A421" s="12" t="s">
        <v>1373</v>
      </c>
      <c r="B421" s="11" t="s">
        <v>1372</v>
      </c>
      <c r="C421" s="3" t="s">
        <v>1371</v>
      </c>
    </row>
    <row r="422" spans="1:5">
      <c r="A422" s="12" t="s">
        <v>1375</v>
      </c>
      <c r="B422" s="11" t="s">
        <v>1374</v>
      </c>
      <c r="C422" s="3" t="s">
        <v>1340</v>
      </c>
    </row>
    <row r="423" spans="1:5">
      <c r="A423" s="12" t="s">
        <v>1378</v>
      </c>
      <c r="B423" s="11" t="s">
        <v>1377</v>
      </c>
      <c r="C423" s="3" t="s">
        <v>1376</v>
      </c>
    </row>
    <row r="424" spans="1:5">
      <c r="A424" s="12" t="s">
        <v>1128</v>
      </c>
      <c r="B424" s="11" t="s">
        <v>1127</v>
      </c>
      <c r="C424" s="3" t="s">
        <v>1379</v>
      </c>
    </row>
    <row r="425" spans="1:5">
      <c r="A425" s="12" t="s">
        <v>1382</v>
      </c>
      <c r="B425" s="11" t="s">
        <v>1381</v>
      </c>
      <c r="C425" s="3" t="s">
        <v>1380</v>
      </c>
    </row>
    <row r="426" spans="1:5">
      <c r="A426" s="12" t="s">
        <v>885</v>
      </c>
      <c r="B426" s="11" t="s">
        <v>884</v>
      </c>
      <c r="C426" s="3" t="s">
        <v>883</v>
      </c>
    </row>
    <row r="427" spans="1:5">
      <c r="A427" s="12" t="s">
        <v>1347</v>
      </c>
      <c r="B427" s="11" t="s">
        <v>1346</v>
      </c>
      <c r="C427" s="3" t="s">
        <v>1345</v>
      </c>
    </row>
    <row r="428" spans="1:5">
      <c r="A428" s="12" t="s">
        <v>1385</v>
      </c>
      <c r="B428" s="11" t="s">
        <v>1384</v>
      </c>
      <c r="C428" s="3" t="s">
        <v>1383</v>
      </c>
    </row>
    <row r="429" spans="1:5" ht="21">
      <c r="A429" s="100">
        <v>42402</v>
      </c>
      <c r="B429" s="100"/>
      <c r="C429" s="100"/>
      <c r="D429" s="100"/>
      <c r="E429" s="100"/>
    </row>
    <row r="430" spans="1:5">
      <c r="A430" s="12" t="s">
        <v>1387</v>
      </c>
      <c r="B430" s="11" t="s">
        <v>1388</v>
      </c>
      <c r="C430" s="3" t="s">
        <v>1386</v>
      </c>
    </row>
    <row r="431" spans="1:5">
      <c r="A431" s="12" t="s">
        <v>1391</v>
      </c>
      <c r="B431" s="11" t="s">
        <v>1390</v>
      </c>
      <c r="C431" s="3" t="s">
        <v>1389</v>
      </c>
      <c r="E431" s="3" t="s">
        <v>1392</v>
      </c>
    </row>
    <row r="432" spans="1:5">
      <c r="A432" s="12" t="s">
        <v>1355</v>
      </c>
      <c r="B432" s="11" t="s">
        <v>1354</v>
      </c>
      <c r="C432" s="3" t="s">
        <v>1353</v>
      </c>
    </row>
    <row r="433" spans="1:5">
      <c r="A433" s="12" t="s">
        <v>1395</v>
      </c>
      <c r="B433" s="11" t="s">
        <v>1394</v>
      </c>
      <c r="C433" s="3" t="s">
        <v>1393</v>
      </c>
    </row>
    <row r="434" spans="1:5">
      <c r="A434" s="12" t="s">
        <v>500</v>
      </c>
      <c r="B434" s="11" t="s">
        <v>1396</v>
      </c>
      <c r="C434" s="3" t="s">
        <v>498</v>
      </c>
    </row>
    <row r="435" spans="1:5">
      <c r="A435" s="12" t="s">
        <v>1399</v>
      </c>
      <c r="B435" s="11" t="s">
        <v>1398</v>
      </c>
      <c r="C435" s="3" t="s">
        <v>1397</v>
      </c>
    </row>
    <row r="436" spans="1:5">
      <c r="A436" s="12" t="s">
        <v>564</v>
      </c>
      <c r="B436" s="11" t="s">
        <v>563</v>
      </c>
      <c r="C436" s="3" t="s">
        <v>562</v>
      </c>
    </row>
    <row r="437" spans="1:5">
      <c r="A437" s="12" t="s">
        <v>1402</v>
      </c>
      <c r="B437" s="11" t="s">
        <v>1401</v>
      </c>
      <c r="C437" s="3" t="s">
        <v>1400</v>
      </c>
    </row>
    <row r="438" spans="1:5">
      <c r="A438" s="12" t="s">
        <v>1405</v>
      </c>
      <c r="B438" s="11" t="s">
        <v>1404</v>
      </c>
      <c r="C438" s="3" t="s">
        <v>1403</v>
      </c>
    </row>
    <row r="439" spans="1:5">
      <c r="A439" s="12" t="s">
        <v>1343</v>
      </c>
      <c r="B439" s="11" t="s">
        <v>1342</v>
      </c>
      <c r="C439" s="3" t="s">
        <v>1341</v>
      </c>
    </row>
    <row r="440" spans="1:5">
      <c r="A440" s="12" t="s">
        <v>1408</v>
      </c>
      <c r="B440" s="11" t="s">
        <v>1407</v>
      </c>
      <c r="C440" s="3" t="s">
        <v>1406</v>
      </c>
    </row>
    <row r="441" spans="1:5">
      <c r="A441" s="12" t="s">
        <v>1411</v>
      </c>
      <c r="B441" s="11" t="s">
        <v>1410</v>
      </c>
      <c r="C441" s="3" t="s">
        <v>1409</v>
      </c>
    </row>
    <row r="442" spans="1:5">
      <c r="A442" s="12" t="s">
        <v>1414</v>
      </c>
      <c r="B442" s="11" t="s">
        <v>1413</v>
      </c>
      <c r="C442" s="3" t="s">
        <v>1412</v>
      </c>
    </row>
    <row r="443" spans="1:5">
      <c r="A443" s="12" t="s">
        <v>1417</v>
      </c>
      <c r="B443" s="11" t="s">
        <v>1416</v>
      </c>
      <c r="C443" s="3" t="s">
        <v>1415</v>
      </c>
    </row>
    <row r="444" spans="1:5">
      <c r="A444" s="12" t="s">
        <v>1420</v>
      </c>
      <c r="B444" s="11" t="s">
        <v>1419</v>
      </c>
      <c r="C444" s="3" t="s">
        <v>1418</v>
      </c>
    </row>
    <row r="445" spans="1:5">
      <c r="A445" s="12" t="s">
        <v>1423</v>
      </c>
      <c r="B445" s="11" t="s">
        <v>1422</v>
      </c>
      <c r="C445" s="3" t="s">
        <v>1421</v>
      </c>
    </row>
    <row r="446" spans="1:5">
      <c r="A446" s="12" t="s">
        <v>1343</v>
      </c>
      <c r="B446" s="11" t="s">
        <v>1342</v>
      </c>
      <c r="C446" s="3" t="s">
        <v>1341</v>
      </c>
    </row>
    <row r="447" spans="1:5" ht="21">
      <c r="A447" s="100">
        <v>42403</v>
      </c>
      <c r="B447" s="100"/>
      <c r="C447" s="100"/>
      <c r="D447" s="100"/>
      <c r="E447" s="100"/>
    </row>
    <row r="448" spans="1:5">
      <c r="A448" s="12" t="s">
        <v>1425</v>
      </c>
      <c r="B448" s="11" t="s">
        <v>1424</v>
      </c>
      <c r="C448" s="3" t="s">
        <v>171</v>
      </c>
    </row>
    <row r="449" spans="1:5">
      <c r="A449" s="12" t="s">
        <v>1428</v>
      </c>
      <c r="B449" s="11" t="s">
        <v>1427</v>
      </c>
      <c r="C449" s="3" t="s">
        <v>1426</v>
      </c>
    </row>
    <row r="450" spans="1:5">
      <c r="A450" s="12" t="s">
        <v>1431</v>
      </c>
      <c r="B450" s="11" t="s">
        <v>1430</v>
      </c>
      <c r="C450" s="3" t="s">
        <v>1429</v>
      </c>
    </row>
    <row r="451" spans="1:5">
      <c r="A451" s="12" t="s">
        <v>1434</v>
      </c>
      <c r="B451" s="11" t="s">
        <v>1433</v>
      </c>
      <c r="C451" s="3" t="s">
        <v>1432</v>
      </c>
    </row>
    <row r="452" spans="1:5">
      <c r="A452" s="12" t="s">
        <v>1437</v>
      </c>
      <c r="B452" s="11" t="s">
        <v>1436</v>
      </c>
      <c r="C452" s="3" t="s">
        <v>1435</v>
      </c>
    </row>
    <row r="453" spans="1:5">
      <c r="A453" s="12" t="s">
        <v>595</v>
      </c>
      <c r="B453" s="11" t="s">
        <v>594</v>
      </c>
      <c r="C453" s="3" t="s">
        <v>1438</v>
      </c>
    </row>
    <row r="454" spans="1:5">
      <c r="A454" s="12" t="s">
        <v>1441</v>
      </c>
      <c r="B454" s="11" t="s">
        <v>1440</v>
      </c>
      <c r="C454" s="3" t="s">
        <v>1439</v>
      </c>
    </row>
    <row r="455" spans="1:5">
      <c r="A455" s="12" t="s">
        <v>1444</v>
      </c>
      <c r="B455" s="11" t="s">
        <v>1443</v>
      </c>
      <c r="C455" s="3" t="s">
        <v>1442</v>
      </c>
      <c r="D455" s="3" t="s">
        <v>1200</v>
      </c>
      <c r="E455" s="3" t="s">
        <v>1445</v>
      </c>
    </row>
    <row r="456" spans="1:5">
      <c r="A456" s="12" t="s">
        <v>822</v>
      </c>
      <c r="B456" s="11" t="s">
        <v>821</v>
      </c>
      <c r="C456" s="3" t="s">
        <v>1446</v>
      </c>
      <c r="D456" s="3" t="s">
        <v>1447</v>
      </c>
      <c r="E456" s="3" t="s">
        <v>1448</v>
      </c>
    </row>
    <row r="457" spans="1:5">
      <c r="A457" s="12" t="s">
        <v>1451</v>
      </c>
      <c r="B457" s="11" t="s">
        <v>1450</v>
      </c>
      <c r="C457" s="3" t="s">
        <v>1449</v>
      </c>
    </row>
    <row r="458" spans="1:5">
      <c r="A458" s="12" t="s">
        <v>1454</v>
      </c>
      <c r="B458" s="11" t="s">
        <v>1453</v>
      </c>
      <c r="C458" s="3" t="s">
        <v>1452</v>
      </c>
    </row>
    <row r="459" spans="1:5">
      <c r="A459" s="12" t="s">
        <v>1457</v>
      </c>
      <c r="B459" s="11" t="s">
        <v>1456</v>
      </c>
      <c r="C459" s="3" t="s">
        <v>1455</v>
      </c>
    </row>
    <row r="460" spans="1:5">
      <c r="A460" s="12" t="s">
        <v>1134</v>
      </c>
      <c r="B460" s="11" t="s">
        <v>1133</v>
      </c>
      <c r="C460" s="3" t="s">
        <v>1132</v>
      </c>
    </row>
    <row r="461" spans="1:5">
      <c r="A461" s="12" t="s">
        <v>646</v>
      </c>
      <c r="B461" s="11" t="s">
        <v>645</v>
      </c>
      <c r="C461" s="3" t="s">
        <v>644</v>
      </c>
    </row>
    <row r="462" spans="1:5" ht="21">
      <c r="A462" s="100">
        <v>42404</v>
      </c>
      <c r="B462" s="100"/>
      <c r="C462" s="100"/>
      <c r="D462" s="100"/>
      <c r="E462" s="100"/>
    </row>
    <row r="463" spans="1:5">
      <c r="A463" s="12" t="s">
        <v>1460</v>
      </c>
      <c r="B463" s="11" t="s">
        <v>1459</v>
      </c>
      <c r="C463" s="3" t="s">
        <v>1458</v>
      </c>
    </row>
    <row r="464" spans="1:5">
      <c r="A464" s="12" t="s">
        <v>1463</v>
      </c>
      <c r="B464" s="11" t="s">
        <v>1462</v>
      </c>
      <c r="C464" s="3" t="s">
        <v>1461</v>
      </c>
    </row>
    <row r="465" spans="1:3">
      <c r="A465" s="12" t="s">
        <v>1466</v>
      </c>
      <c r="B465" s="11" t="s">
        <v>1465</v>
      </c>
      <c r="C465" s="3" t="s">
        <v>1464</v>
      </c>
    </row>
    <row r="466" spans="1:3">
      <c r="A466" s="12" t="s">
        <v>1469</v>
      </c>
      <c r="B466" s="11" t="s">
        <v>1468</v>
      </c>
      <c r="C466" s="3" t="s">
        <v>1467</v>
      </c>
    </row>
    <row r="467" spans="1:3">
      <c r="A467" s="12" t="s">
        <v>915</v>
      </c>
      <c r="B467" s="11" t="s">
        <v>914</v>
      </c>
      <c r="C467" s="3" t="s">
        <v>913</v>
      </c>
    </row>
    <row r="468" spans="1:3">
      <c r="A468" s="12" t="s">
        <v>1471</v>
      </c>
      <c r="B468" s="11" t="s">
        <v>1470</v>
      </c>
      <c r="C468" s="3" t="s">
        <v>1008</v>
      </c>
    </row>
    <row r="469" spans="1:3">
      <c r="A469" s="12" t="s">
        <v>1474</v>
      </c>
      <c r="B469" s="11" t="s">
        <v>1473</v>
      </c>
      <c r="C469" s="3" t="s">
        <v>1472</v>
      </c>
    </row>
    <row r="470" spans="1:3">
      <c r="A470" s="12" t="s">
        <v>1477</v>
      </c>
      <c r="B470" s="11" t="s">
        <v>1476</v>
      </c>
      <c r="C470" s="3" t="s">
        <v>1475</v>
      </c>
    </row>
    <row r="471" spans="1:3">
      <c r="A471" s="12" t="s">
        <v>1480</v>
      </c>
      <c r="B471" s="11" t="s">
        <v>1479</v>
      </c>
      <c r="C471" s="3" t="s">
        <v>1478</v>
      </c>
    </row>
    <row r="472" spans="1:3">
      <c r="A472" s="12" t="s">
        <v>1483</v>
      </c>
      <c r="B472" s="11" t="s">
        <v>1482</v>
      </c>
      <c r="C472" s="3" t="s">
        <v>1481</v>
      </c>
    </row>
    <row r="473" spans="1:3">
      <c r="A473" s="12" t="s">
        <v>1484</v>
      </c>
      <c r="B473" s="11" t="s">
        <v>1486</v>
      </c>
      <c r="C473" s="3" t="s">
        <v>1485</v>
      </c>
    </row>
    <row r="474" spans="1:3">
      <c r="A474" s="12" t="s">
        <v>1489</v>
      </c>
      <c r="B474" s="11" t="s">
        <v>1488</v>
      </c>
      <c r="C474" s="3" t="s">
        <v>1487</v>
      </c>
    </row>
    <row r="475" spans="1:3">
      <c r="A475" s="12" t="s">
        <v>1492</v>
      </c>
      <c r="B475" s="11" t="s">
        <v>1491</v>
      </c>
      <c r="C475" s="3" t="s">
        <v>1490</v>
      </c>
    </row>
    <row r="476" spans="1:3">
      <c r="A476" s="12" t="s">
        <v>1494</v>
      </c>
      <c r="B476" s="11" t="s">
        <v>1493</v>
      </c>
      <c r="C476" s="3" t="s">
        <v>1193</v>
      </c>
    </row>
    <row r="477" spans="1:3">
      <c r="A477" s="12" t="s">
        <v>1497</v>
      </c>
      <c r="B477" s="11" t="s">
        <v>1496</v>
      </c>
      <c r="C477" s="3" t="s">
        <v>1495</v>
      </c>
    </row>
    <row r="478" spans="1:3">
      <c r="A478" s="12" t="s">
        <v>1500</v>
      </c>
      <c r="B478" s="11" t="s">
        <v>1499</v>
      </c>
      <c r="C478" s="3" t="s">
        <v>1498</v>
      </c>
    </row>
    <row r="479" spans="1:3">
      <c r="A479" s="12" t="s">
        <v>1503</v>
      </c>
      <c r="B479" s="11" t="s">
        <v>1502</v>
      </c>
      <c r="C479" s="3" t="s">
        <v>1501</v>
      </c>
    </row>
    <row r="480" spans="1:3">
      <c r="A480" s="12" t="s">
        <v>1506</v>
      </c>
      <c r="B480" s="11" t="s">
        <v>1505</v>
      </c>
      <c r="C480" s="3" t="s">
        <v>1504</v>
      </c>
    </row>
    <row r="481" spans="1:5">
      <c r="A481" s="12" t="s">
        <v>1509</v>
      </c>
      <c r="B481" s="11" t="s">
        <v>1508</v>
      </c>
      <c r="C481" s="3" t="s">
        <v>1507</v>
      </c>
    </row>
    <row r="482" spans="1:5" ht="21">
      <c r="A482" s="100">
        <v>42407</v>
      </c>
      <c r="B482" s="100"/>
      <c r="C482" s="100"/>
      <c r="D482" s="100"/>
      <c r="E482" s="100"/>
    </row>
    <row r="483" spans="1:5">
      <c r="A483" s="12" t="s">
        <v>1512</v>
      </c>
      <c r="B483" s="11" t="s">
        <v>1511</v>
      </c>
      <c r="C483" s="3" t="s">
        <v>1510</v>
      </c>
    </row>
    <row r="484" spans="1:5">
      <c r="A484" s="12" t="s">
        <v>1515</v>
      </c>
      <c r="B484" s="11" t="s">
        <v>1514</v>
      </c>
      <c r="C484" s="3" t="s">
        <v>1513</v>
      </c>
    </row>
    <row r="485" spans="1:5">
      <c r="A485" s="12" t="s">
        <v>1518</v>
      </c>
      <c r="B485" s="11" t="s">
        <v>1517</v>
      </c>
      <c r="C485" s="3" t="s">
        <v>1516</v>
      </c>
    </row>
    <row r="486" spans="1:5">
      <c r="A486" s="12" t="s">
        <v>1521</v>
      </c>
      <c r="B486" s="11" t="s">
        <v>1520</v>
      </c>
      <c r="C486" s="3" t="s">
        <v>1519</v>
      </c>
    </row>
    <row r="487" spans="1:5">
      <c r="A487" s="12" t="s">
        <v>1521</v>
      </c>
      <c r="B487" s="11" t="s">
        <v>1520</v>
      </c>
      <c r="C487" s="3" t="s">
        <v>1522</v>
      </c>
    </row>
    <row r="488" spans="1:5">
      <c r="A488" s="12" t="s">
        <v>1525</v>
      </c>
      <c r="B488" s="11" t="s">
        <v>1524</v>
      </c>
      <c r="C488" s="3" t="s">
        <v>1523</v>
      </c>
    </row>
    <row r="489" spans="1:5">
      <c r="A489" s="12" t="s">
        <v>1528</v>
      </c>
      <c r="B489" s="11" t="s">
        <v>1527</v>
      </c>
      <c r="C489" s="3" t="s">
        <v>1526</v>
      </c>
    </row>
    <row r="490" spans="1:5">
      <c r="A490" s="12" t="s">
        <v>1531</v>
      </c>
      <c r="B490" s="11" t="s">
        <v>1530</v>
      </c>
      <c r="C490" s="3" t="s">
        <v>1529</v>
      </c>
    </row>
    <row r="491" spans="1:5" ht="21">
      <c r="A491" s="100">
        <v>42408</v>
      </c>
      <c r="B491" s="100"/>
      <c r="C491" s="100"/>
      <c r="D491" s="100"/>
      <c r="E491" s="100"/>
    </row>
    <row r="492" spans="1:5">
      <c r="A492" s="12" t="s">
        <v>568</v>
      </c>
      <c r="B492" s="11" t="s">
        <v>567</v>
      </c>
      <c r="C492" s="3" t="s">
        <v>566</v>
      </c>
    </row>
    <row r="493" spans="1:5">
      <c r="A493" s="12" t="s">
        <v>1220</v>
      </c>
      <c r="B493" s="11" t="s">
        <v>1219</v>
      </c>
      <c r="C493" s="3" t="s">
        <v>1218</v>
      </c>
    </row>
    <row r="494" spans="1:5">
      <c r="A494" s="12" t="s">
        <v>1534</v>
      </c>
      <c r="B494" s="11" t="s">
        <v>1533</v>
      </c>
      <c r="C494" s="3" t="s">
        <v>1532</v>
      </c>
    </row>
    <row r="495" spans="1:5">
      <c r="A495" s="12" t="s">
        <v>618</v>
      </c>
      <c r="B495" s="11" t="s">
        <v>617</v>
      </c>
      <c r="C495" s="3" t="s">
        <v>616</v>
      </c>
    </row>
    <row r="496" spans="1:5">
      <c r="A496" s="12" t="s">
        <v>1537</v>
      </c>
      <c r="B496" s="11" t="s">
        <v>1536</v>
      </c>
      <c r="C496" s="3" t="s">
        <v>1535</v>
      </c>
    </row>
    <row r="497" spans="1:5">
      <c r="A497" s="12" t="s">
        <v>846</v>
      </c>
      <c r="B497" s="11" t="s">
        <v>845</v>
      </c>
      <c r="C497" s="3" t="s">
        <v>844</v>
      </c>
    </row>
    <row r="498" spans="1:5">
      <c r="A498" s="12" t="s">
        <v>1540</v>
      </c>
      <c r="B498" s="11" t="s">
        <v>1539</v>
      </c>
      <c r="C498" s="3" t="s">
        <v>1538</v>
      </c>
    </row>
    <row r="499" spans="1:5">
      <c r="A499" s="12" t="s">
        <v>1543</v>
      </c>
      <c r="B499" s="11" t="s">
        <v>1542</v>
      </c>
      <c r="C499" s="3" t="s">
        <v>1541</v>
      </c>
    </row>
    <row r="500" spans="1:5">
      <c r="A500" s="12" t="s">
        <v>1546</v>
      </c>
      <c r="B500" s="11" t="s">
        <v>1545</v>
      </c>
      <c r="C500" s="3" t="s">
        <v>1544</v>
      </c>
    </row>
    <row r="501" spans="1:5">
      <c r="A501" s="12" t="s">
        <v>1549</v>
      </c>
      <c r="B501" s="11" t="s">
        <v>1548</v>
      </c>
      <c r="C501" s="3" t="s">
        <v>1547</v>
      </c>
    </row>
    <row r="502" spans="1:5">
      <c r="A502" s="12" t="s">
        <v>1552</v>
      </c>
      <c r="B502" s="11" t="s">
        <v>1551</v>
      </c>
      <c r="C502" s="3" t="s">
        <v>1550</v>
      </c>
    </row>
    <row r="503" spans="1:5" ht="21">
      <c r="A503" s="100">
        <v>42409</v>
      </c>
      <c r="B503" s="100"/>
      <c r="C503" s="100"/>
      <c r="D503" s="100"/>
      <c r="E503" s="100"/>
    </row>
    <row r="504" spans="1:5">
      <c r="A504" s="12" t="s">
        <v>1555</v>
      </c>
      <c r="B504" s="11" t="s">
        <v>1554</v>
      </c>
      <c r="C504" s="3" t="s">
        <v>1553</v>
      </c>
    </row>
    <row r="505" spans="1:5">
      <c r="A505" s="12" t="s">
        <v>1558</v>
      </c>
      <c r="B505" s="11" t="s">
        <v>1557</v>
      </c>
      <c r="C505" s="3" t="s">
        <v>1556</v>
      </c>
    </row>
    <row r="506" spans="1:5">
      <c r="A506" s="12" t="s">
        <v>1561</v>
      </c>
      <c r="B506" s="11" t="s">
        <v>1560</v>
      </c>
      <c r="C506" s="3" t="s">
        <v>1559</v>
      </c>
    </row>
    <row r="507" spans="1:5">
      <c r="A507" s="12" t="s">
        <v>1564</v>
      </c>
      <c r="B507" s="11" t="s">
        <v>1563</v>
      </c>
      <c r="C507" s="3" t="s">
        <v>1562</v>
      </c>
    </row>
    <row r="508" spans="1:5">
      <c r="A508" s="12" t="s">
        <v>934</v>
      </c>
      <c r="B508" s="11" t="s">
        <v>933</v>
      </c>
      <c r="C508" s="3" t="s">
        <v>1565</v>
      </c>
    </row>
    <row r="509" spans="1:5">
      <c r="A509" s="12" t="s">
        <v>1568</v>
      </c>
      <c r="B509" s="11" t="s">
        <v>1567</v>
      </c>
      <c r="C509" s="3" t="s">
        <v>1566</v>
      </c>
    </row>
    <row r="510" spans="1:5">
      <c r="A510" s="12" t="s">
        <v>1570</v>
      </c>
      <c r="B510" s="11" t="s">
        <v>1569</v>
      </c>
      <c r="C510" s="3" t="s">
        <v>1002</v>
      </c>
    </row>
    <row r="511" spans="1:5">
      <c r="A511" s="12" t="s">
        <v>1570</v>
      </c>
      <c r="B511" s="11" t="s">
        <v>1569</v>
      </c>
      <c r="C511" s="3" t="s">
        <v>1571</v>
      </c>
    </row>
    <row r="512" spans="1:5">
      <c r="A512" s="12" t="s">
        <v>473</v>
      </c>
      <c r="B512" s="11" t="s">
        <v>472</v>
      </c>
      <c r="C512" s="3" t="s">
        <v>471</v>
      </c>
    </row>
    <row r="513" spans="1:5">
      <c r="A513" s="12" t="s">
        <v>1574</v>
      </c>
      <c r="B513" s="11" t="s">
        <v>1573</v>
      </c>
      <c r="C513" s="3" t="s">
        <v>1572</v>
      </c>
    </row>
    <row r="514" spans="1:5">
      <c r="A514" s="12" t="s">
        <v>1576</v>
      </c>
      <c r="B514" s="11" t="s">
        <v>1575</v>
      </c>
      <c r="C514" s="3" t="s">
        <v>1577</v>
      </c>
    </row>
    <row r="515" spans="1:5">
      <c r="A515" s="12" t="s">
        <v>1568</v>
      </c>
      <c r="B515" s="11" t="s">
        <v>1567</v>
      </c>
      <c r="C515" s="3" t="s">
        <v>1566</v>
      </c>
    </row>
    <row r="516" spans="1:5">
      <c r="A516" s="12" t="s">
        <v>488</v>
      </c>
      <c r="B516" s="11" t="s">
        <v>487</v>
      </c>
      <c r="C516" s="3" t="s">
        <v>486</v>
      </c>
    </row>
    <row r="517" spans="1:5">
      <c r="A517" s="12" t="s">
        <v>1579</v>
      </c>
      <c r="B517" s="11" t="s">
        <v>1578</v>
      </c>
      <c r="C517" s="3" t="s">
        <v>1580</v>
      </c>
    </row>
    <row r="518" spans="1:5" ht="21">
      <c r="A518" s="100">
        <v>42410</v>
      </c>
      <c r="B518" s="100"/>
      <c r="C518" s="100"/>
      <c r="D518" s="100"/>
      <c r="E518" s="100"/>
    </row>
    <row r="519" spans="1:5">
      <c r="A519" s="12" t="s">
        <v>1583</v>
      </c>
      <c r="B519" s="11" t="s">
        <v>1582</v>
      </c>
      <c r="C519" s="3" t="s">
        <v>1581</v>
      </c>
    </row>
    <row r="520" spans="1:5">
      <c r="A520" s="12" t="s">
        <v>1220</v>
      </c>
      <c r="B520" s="11" t="s">
        <v>1219</v>
      </c>
      <c r="C520" s="3" t="s">
        <v>1584</v>
      </c>
    </row>
    <row r="521" spans="1:5">
      <c r="A521" s="12" t="s">
        <v>1586</v>
      </c>
      <c r="B521" s="11" t="s">
        <v>1585</v>
      </c>
      <c r="C521" s="3" t="s">
        <v>1587</v>
      </c>
    </row>
    <row r="522" spans="1:5">
      <c r="A522" s="12" t="s">
        <v>1590</v>
      </c>
      <c r="B522" s="11" t="s">
        <v>1589</v>
      </c>
      <c r="C522" s="3" t="s">
        <v>1588</v>
      </c>
    </row>
    <row r="523" spans="1:5">
      <c r="A523" s="12" t="s">
        <v>1593</v>
      </c>
      <c r="B523" s="11" t="s">
        <v>1592</v>
      </c>
      <c r="C523" s="3" t="s">
        <v>1591</v>
      </c>
    </row>
    <row r="524" spans="1:5">
      <c r="A524" s="12" t="s">
        <v>1596</v>
      </c>
      <c r="B524" s="11" t="s">
        <v>1595</v>
      </c>
      <c r="C524" s="3" t="s">
        <v>1594</v>
      </c>
    </row>
    <row r="525" spans="1:5">
      <c r="A525" s="12" t="s">
        <v>676</v>
      </c>
      <c r="B525" s="11" t="s">
        <v>675</v>
      </c>
      <c r="C525" s="3" t="s">
        <v>674</v>
      </c>
    </row>
    <row r="526" spans="1:5">
      <c r="A526" s="12" t="s">
        <v>676</v>
      </c>
      <c r="B526" s="11" t="s">
        <v>675</v>
      </c>
      <c r="C526" s="3" t="s">
        <v>673</v>
      </c>
    </row>
    <row r="527" spans="1:5">
      <c r="A527" s="12" t="s">
        <v>1599</v>
      </c>
      <c r="B527" s="11" t="s">
        <v>1598</v>
      </c>
      <c r="C527" s="3" t="s">
        <v>1597</v>
      </c>
    </row>
    <row r="528" spans="1:5">
      <c r="A528" s="12" t="s">
        <v>1602</v>
      </c>
      <c r="B528" s="11" t="s">
        <v>1601</v>
      </c>
      <c r="C528" s="3" t="s">
        <v>1600</v>
      </c>
      <c r="D528" s="3" t="s">
        <v>1603</v>
      </c>
    </row>
    <row r="529" spans="1:3">
      <c r="A529" s="12" t="s">
        <v>1606</v>
      </c>
      <c r="B529" s="11" t="s">
        <v>1605</v>
      </c>
      <c r="C529" s="3" t="s">
        <v>1604</v>
      </c>
    </row>
    <row r="530" spans="1:3">
      <c r="A530" s="12" t="s">
        <v>1609</v>
      </c>
      <c r="B530" s="11" t="s">
        <v>1608</v>
      </c>
      <c r="C530" s="3" t="s">
        <v>1607</v>
      </c>
    </row>
    <row r="531" spans="1:3">
      <c r="A531" s="12" t="s">
        <v>1612</v>
      </c>
      <c r="B531" s="11" t="s">
        <v>1611</v>
      </c>
      <c r="C531" s="3" t="s">
        <v>1610</v>
      </c>
    </row>
    <row r="532" spans="1:3">
      <c r="A532" s="12" t="s">
        <v>1615</v>
      </c>
      <c r="B532" s="11" t="s">
        <v>1614</v>
      </c>
      <c r="C532" s="3" t="s">
        <v>1613</v>
      </c>
    </row>
    <row r="533" spans="1:3">
      <c r="A533" s="12" t="s">
        <v>1128</v>
      </c>
      <c r="B533" s="11" t="s">
        <v>1127</v>
      </c>
      <c r="C533" s="3" t="s">
        <v>1616</v>
      </c>
    </row>
    <row r="534" spans="1:3">
      <c r="A534" s="12" t="s">
        <v>1460</v>
      </c>
      <c r="B534" s="11" t="s">
        <v>1459</v>
      </c>
      <c r="C534" s="3" t="s">
        <v>1458</v>
      </c>
    </row>
    <row r="535" spans="1:3">
      <c r="A535" s="12" t="s">
        <v>1619</v>
      </c>
      <c r="B535" s="11" t="s">
        <v>1618</v>
      </c>
      <c r="C535" s="3" t="s">
        <v>1617</v>
      </c>
    </row>
    <row r="536" spans="1:3">
      <c r="A536" s="12" t="s">
        <v>1622</v>
      </c>
      <c r="B536" s="11" t="s">
        <v>1621</v>
      </c>
      <c r="C536" s="3" t="s">
        <v>1620</v>
      </c>
    </row>
    <row r="537" spans="1:3">
      <c r="A537" s="12" t="s">
        <v>1625</v>
      </c>
      <c r="B537" s="11" t="s">
        <v>1624</v>
      </c>
      <c r="C537" s="3" t="s">
        <v>1623</v>
      </c>
    </row>
    <row r="538" spans="1:3">
      <c r="A538" s="12" t="s">
        <v>1628</v>
      </c>
      <c r="B538" s="11" t="s">
        <v>1627</v>
      </c>
      <c r="C538" s="3" t="s">
        <v>1626</v>
      </c>
    </row>
    <row r="539" spans="1:3">
      <c r="A539" s="12" t="s">
        <v>1631</v>
      </c>
      <c r="B539" s="11" t="s">
        <v>1630</v>
      </c>
      <c r="C539" s="3" t="s">
        <v>1629</v>
      </c>
    </row>
    <row r="540" spans="1:3">
      <c r="A540" s="12" t="s">
        <v>1634</v>
      </c>
      <c r="B540" s="11" t="s">
        <v>1633</v>
      </c>
      <c r="C540" s="3" t="s">
        <v>1632</v>
      </c>
    </row>
    <row r="541" spans="1:3">
      <c r="A541" s="12" t="s">
        <v>1637</v>
      </c>
      <c r="B541" s="11" t="s">
        <v>1636</v>
      </c>
      <c r="C541" s="3" t="s">
        <v>1635</v>
      </c>
    </row>
    <row r="542" spans="1:3">
      <c r="A542" s="12" t="s">
        <v>1640</v>
      </c>
      <c r="B542" s="11" t="s">
        <v>1639</v>
      </c>
      <c r="C542" s="3" t="s">
        <v>1638</v>
      </c>
    </row>
    <row r="543" spans="1:3">
      <c r="A543" s="12" t="s">
        <v>1643</v>
      </c>
      <c r="B543" s="11" t="s">
        <v>1642</v>
      </c>
      <c r="C543" s="3" t="s">
        <v>1641</v>
      </c>
    </row>
    <row r="544" spans="1:3">
      <c r="A544" s="12" t="s">
        <v>1646</v>
      </c>
      <c r="B544" s="11" t="s">
        <v>1645</v>
      </c>
      <c r="C544" s="3" t="s">
        <v>1644</v>
      </c>
    </row>
    <row r="545" spans="1:5">
      <c r="A545" s="12" t="s">
        <v>1593</v>
      </c>
      <c r="B545" s="11" t="s">
        <v>1592</v>
      </c>
      <c r="C545" s="3" t="s">
        <v>1591</v>
      </c>
    </row>
    <row r="546" spans="1:5">
      <c r="A546" s="12" t="s">
        <v>1272</v>
      </c>
      <c r="B546" s="11" t="s">
        <v>1647</v>
      </c>
      <c r="C546" s="3" t="s">
        <v>1270</v>
      </c>
    </row>
    <row r="547" spans="1:5">
      <c r="A547" s="12" t="s">
        <v>473</v>
      </c>
      <c r="B547" s="11" t="s">
        <v>1648</v>
      </c>
      <c r="C547" s="3" t="s">
        <v>471</v>
      </c>
    </row>
    <row r="548" spans="1:5">
      <c r="A548" s="12" t="s">
        <v>1651</v>
      </c>
      <c r="B548" s="11" t="s">
        <v>1650</v>
      </c>
      <c r="C548" s="3" t="s">
        <v>1649</v>
      </c>
    </row>
    <row r="549" spans="1:5">
      <c r="A549" s="12" t="s">
        <v>1654</v>
      </c>
      <c r="B549" s="11" t="s">
        <v>1653</v>
      </c>
      <c r="C549" s="3" t="s">
        <v>1652</v>
      </c>
    </row>
    <row r="550" spans="1:5">
      <c r="A550" s="12" t="s">
        <v>1657</v>
      </c>
      <c r="B550" s="11" t="s">
        <v>1656</v>
      </c>
      <c r="C550" s="3" t="s">
        <v>1655</v>
      </c>
    </row>
    <row r="551" spans="1:5">
      <c r="A551" s="12" t="s">
        <v>1660</v>
      </c>
      <c r="B551" s="11" t="s">
        <v>1659</v>
      </c>
      <c r="C551" s="3" t="s">
        <v>1658</v>
      </c>
    </row>
    <row r="552" spans="1:5">
      <c r="A552" s="12" t="s">
        <v>1662</v>
      </c>
      <c r="B552" s="11" t="s">
        <v>1661</v>
      </c>
      <c r="C552" s="3" t="s">
        <v>703</v>
      </c>
    </row>
    <row r="553" spans="1:5">
      <c r="A553" s="12" t="s">
        <v>1665</v>
      </c>
      <c r="B553" s="11" t="s">
        <v>1664</v>
      </c>
      <c r="C553" s="3" t="s">
        <v>1663</v>
      </c>
    </row>
    <row r="554" spans="1:5" ht="21">
      <c r="A554" s="100">
        <v>42411</v>
      </c>
      <c r="B554" s="100"/>
      <c r="C554" s="100"/>
      <c r="D554" s="100"/>
      <c r="E554" s="100"/>
    </row>
    <row r="555" spans="1:5">
      <c r="A555" s="12" t="s">
        <v>1668</v>
      </c>
      <c r="B555" s="11" t="s">
        <v>1667</v>
      </c>
      <c r="C555" s="3" t="s">
        <v>1666</v>
      </c>
    </row>
    <row r="556" spans="1:5">
      <c r="A556" s="12" t="s">
        <v>1583</v>
      </c>
      <c r="B556" s="11" t="s">
        <v>1582</v>
      </c>
      <c r="C556" s="92" t="s">
        <v>1581</v>
      </c>
      <c r="E556" s="92"/>
    </row>
    <row r="557" spans="1:5">
      <c r="A557" s="12" t="s">
        <v>1671</v>
      </c>
      <c r="B557" s="11" t="s">
        <v>1670</v>
      </c>
      <c r="C557" s="92" t="s">
        <v>1669</v>
      </c>
    </row>
    <row r="558" spans="1:5">
      <c r="A558" s="12" t="s">
        <v>1674</v>
      </c>
      <c r="B558" s="11" t="s">
        <v>1673</v>
      </c>
      <c r="C558" s="92" t="s">
        <v>1672</v>
      </c>
    </row>
    <row r="559" spans="1:5">
      <c r="A559" s="12" t="s">
        <v>1677</v>
      </c>
      <c r="B559" s="11" t="s">
        <v>1676</v>
      </c>
      <c r="C559" s="92" t="s">
        <v>1675</v>
      </c>
    </row>
    <row r="560" spans="1:5">
      <c r="A560" s="12" t="s">
        <v>1628</v>
      </c>
      <c r="B560" s="11" t="s">
        <v>1627</v>
      </c>
      <c r="C560" s="92" t="s">
        <v>1626</v>
      </c>
    </row>
    <row r="561" spans="1:5">
      <c r="A561" s="12" t="s">
        <v>1612</v>
      </c>
      <c r="B561" s="11" t="s">
        <v>1611</v>
      </c>
      <c r="C561" s="92" t="s">
        <v>1610</v>
      </c>
    </row>
    <row r="562" spans="1:5">
      <c r="A562" s="12" t="s">
        <v>767</v>
      </c>
      <c r="B562" s="11" t="s">
        <v>1678</v>
      </c>
      <c r="C562" s="3" t="s">
        <v>768</v>
      </c>
    </row>
    <row r="563" spans="1:5">
      <c r="A563" s="12" t="s">
        <v>1471</v>
      </c>
      <c r="B563" s="11" t="s">
        <v>1470</v>
      </c>
      <c r="C563" s="3" t="s">
        <v>1008</v>
      </c>
    </row>
    <row r="564" spans="1:5">
      <c r="A564" s="12" t="s">
        <v>1681</v>
      </c>
      <c r="B564" s="11" t="s">
        <v>1680</v>
      </c>
      <c r="C564" s="3" t="s">
        <v>1679</v>
      </c>
    </row>
    <row r="565" spans="1:5">
      <c r="A565" s="12" t="s">
        <v>1684</v>
      </c>
      <c r="B565" s="11" t="s">
        <v>1683</v>
      </c>
      <c r="C565" s="3" t="s">
        <v>1682</v>
      </c>
    </row>
    <row r="566" spans="1:5">
      <c r="A566" s="12" t="s">
        <v>1687</v>
      </c>
      <c r="B566" s="11" t="s">
        <v>1686</v>
      </c>
      <c r="C566" s="3" t="s">
        <v>1685</v>
      </c>
    </row>
    <row r="567" spans="1:5">
      <c r="A567" s="12" t="s">
        <v>1690</v>
      </c>
      <c r="B567" s="11" t="s">
        <v>1689</v>
      </c>
      <c r="C567" s="3" t="s">
        <v>1688</v>
      </c>
    </row>
    <row r="568" spans="1:5">
      <c r="A568" s="12" t="s">
        <v>1693</v>
      </c>
      <c r="B568" s="11" t="s">
        <v>1692</v>
      </c>
      <c r="C568" s="3" t="s">
        <v>1691</v>
      </c>
    </row>
    <row r="569" spans="1:5">
      <c r="A569" s="12" t="s">
        <v>1695</v>
      </c>
      <c r="B569" s="11" t="s">
        <v>1694</v>
      </c>
      <c r="C569" s="3" t="s">
        <v>1696</v>
      </c>
    </row>
    <row r="570" spans="1:5" ht="21">
      <c r="A570" s="100">
        <v>42412</v>
      </c>
      <c r="B570" s="100"/>
      <c r="C570" s="100"/>
      <c r="D570" s="100"/>
      <c r="E570" s="100"/>
    </row>
    <row r="571" spans="1:5">
      <c r="A571" s="12" t="s">
        <v>1699</v>
      </c>
      <c r="B571" s="11" t="s">
        <v>1698</v>
      </c>
      <c r="C571" s="93" t="s">
        <v>1697</v>
      </c>
    </row>
    <row r="572" spans="1:5">
      <c r="A572" s="12" t="s">
        <v>863</v>
      </c>
      <c r="B572" s="11" t="s">
        <v>863</v>
      </c>
      <c r="C572" s="93" t="s">
        <v>862</v>
      </c>
    </row>
    <row r="573" spans="1:5" s="7" customFormat="1">
      <c r="A573" s="85" t="s">
        <v>1701</v>
      </c>
      <c r="B573" s="86" t="s">
        <v>18</v>
      </c>
      <c r="C573" s="94" t="s">
        <v>1700</v>
      </c>
      <c r="D573" s="87"/>
      <c r="E573" s="87"/>
    </row>
    <row r="574" spans="1:5">
      <c r="A574" s="12" t="s">
        <v>1704</v>
      </c>
      <c r="B574" s="11" t="s">
        <v>1703</v>
      </c>
      <c r="C574" s="93" t="s">
        <v>1702</v>
      </c>
    </row>
    <row r="575" spans="1:5">
      <c r="A575" s="12" t="s">
        <v>1707</v>
      </c>
      <c r="B575" s="11" t="s">
        <v>1706</v>
      </c>
      <c r="C575" s="93" t="s">
        <v>1705</v>
      </c>
    </row>
    <row r="576" spans="1:5">
      <c r="A576" s="12" t="s">
        <v>1710</v>
      </c>
      <c r="B576" s="11" t="s">
        <v>1709</v>
      </c>
      <c r="C576" s="93" t="s">
        <v>1708</v>
      </c>
    </row>
    <row r="577" spans="1:5">
      <c r="A577" s="12" t="s">
        <v>1713</v>
      </c>
      <c r="B577" s="11" t="s">
        <v>1712</v>
      </c>
      <c r="C577" s="93" t="s">
        <v>1711</v>
      </c>
    </row>
    <row r="578" spans="1:5">
      <c r="A578" s="12" t="s">
        <v>1715</v>
      </c>
      <c r="B578" s="11" t="s">
        <v>1715</v>
      </c>
      <c r="C578" s="93" t="s">
        <v>1714</v>
      </c>
    </row>
    <row r="579" spans="1:5">
      <c r="A579" s="12" t="s">
        <v>1718</v>
      </c>
      <c r="B579" s="11" t="s">
        <v>1717</v>
      </c>
      <c r="C579" s="93" t="s">
        <v>1716</v>
      </c>
    </row>
    <row r="580" spans="1:5">
      <c r="A580" s="12" t="s">
        <v>1721</v>
      </c>
      <c r="B580" s="11" t="s">
        <v>1720</v>
      </c>
      <c r="C580" s="93" t="s">
        <v>1719</v>
      </c>
    </row>
    <row r="581" spans="1:5">
      <c r="A581" s="12" t="s">
        <v>1534</v>
      </c>
      <c r="B581" s="11" t="s">
        <v>1533</v>
      </c>
      <c r="C581" s="93" t="s">
        <v>1532</v>
      </c>
    </row>
    <row r="582" spans="1:5">
      <c r="A582" s="12" t="s">
        <v>1724</v>
      </c>
      <c r="B582" s="11" t="s">
        <v>1723</v>
      </c>
      <c r="C582" s="93" t="s">
        <v>1722</v>
      </c>
    </row>
    <row r="583" spans="1:5">
      <c r="A583" s="12" t="s">
        <v>1727</v>
      </c>
      <c r="B583" s="11" t="s">
        <v>1726</v>
      </c>
      <c r="C583" s="93" t="s">
        <v>1725</v>
      </c>
    </row>
    <row r="584" spans="1:5" ht="21">
      <c r="A584" s="100">
        <v>42414</v>
      </c>
      <c r="B584" s="100"/>
      <c r="C584" s="100"/>
      <c r="D584" s="100"/>
      <c r="E584" s="100"/>
    </row>
    <row r="585" spans="1:5">
      <c r="A585" s="12" t="s">
        <v>1730</v>
      </c>
      <c r="B585" s="11" t="s">
        <v>1729</v>
      </c>
      <c r="C585" s="93" t="s">
        <v>1728</v>
      </c>
    </row>
    <row r="586" spans="1:5">
      <c r="A586" s="12" t="s">
        <v>1733</v>
      </c>
      <c r="B586" s="11" t="s">
        <v>1732</v>
      </c>
      <c r="C586" s="93" t="s">
        <v>1731</v>
      </c>
      <c r="D586" s="3" t="s">
        <v>1735</v>
      </c>
      <c r="E586" s="3" t="s">
        <v>1734</v>
      </c>
    </row>
    <row r="587" spans="1:5">
      <c r="A587" s="12" t="s">
        <v>1738</v>
      </c>
      <c r="B587" s="11" t="s">
        <v>1737</v>
      </c>
      <c r="C587" s="3" t="s">
        <v>1736</v>
      </c>
    </row>
    <row r="588" spans="1:5">
      <c r="A588" s="12" t="s">
        <v>657</v>
      </c>
      <c r="B588" s="11" t="s">
        <v>656</v>
      </c>
      <c r="C588" s="3" t="s">
        <v>503</v>
      </c>
    </row>
    <row r="589" spans="1:5">
      <c r="A589" s="12" t="s">
        <v>1740</v>
      </c>
      <c r="B589" s="11" t="s">
        <v>1739</v>
      </c>
      <c r="C589" s="3" t="s">
        <v>1199</v>
      </c>
      <c r="D589" s="3" t="s">
        <v>1741</v>
      </c>
      <c r="E589" s="3" t="s">
        <v>1742</v>
      </c>
    </row>
    <row r="590" spans="1:5">
      <c r="A590" s="12" t="s">
        <v>1599</v>
      </c>
      <c r="B590" s="11" t="s">
        <v>1598</v>
      </c>
      <c r="C590" s="3" t="s">
        <v>1597</v>
      </c>
    </row>
    <row r="591" spans="1:5">
      <c r="A591" s="12" t="s">
        <v>633</v>
      </c>
      <c r="B591" s="11" t="s">
        <v>632</v>
      </c>
      <c r="C591" s="3" t="s">
        <v>631</v>
      </c>
    </row>
    <row r="592" spans="1:5">
      <c r="A592" s="12" t="s">
        <v>1745</v>
      </c>
      <c r="B592" s="11" t="s">
        <v>1744</v>
      </c>
      <c r="C592" s="3" t="s">
        <v>1743</v>
      </c>
    </row>
    <row r="593" spans="1:5" ht="21">
      <c r="A593" s="100">
        <v>42415</v>
      </c>
      <c r="B593" s="100"/>
      <c r="C593" s="100"/>
      <c r="D593" s="100"/>
      <c r="E593" s="100"/>
    </row>
    <row r="594" spans="1:5">
      <c r="A594" s="12" t="s">
        <v>1748</v>
      </c>
      <c r="B594" s="11" t="s">
        <v>1747</v>
      </c>
      <c r="C594" s="3" t="s">
        <v>1746</v>
      </c>
    </row>
    <row r="595" spans="1:5">
      <c r="A595" s="12" t="s">
        <v>1753</v>
      </c>
      <c r="B595" s="11" t="s">
        <v>1752</v>
      </c>
      <c r="C595" s="3" t="s">
        <v>1749</v>
      </c>
      <c r="D595" s="3" t="s">
        <v>1751</v>
      </c>
      <c r="E595" s="3" t="s">
        <v>1750</v>
      </c>
    </row>
    <row r="596" spans="1:5">
      <c r="A596" s="12" t="s">
        <v>1756</v>
      </c>
      <c r="B596" s="11" t="s">
        <v>1755</v>
      </c>
      <c r="C596" s="3" t="s">
        <v>1754</v>
      </c>
    </row>
    <row r="597" spans="1:5">
      <c r="A597" s="12" t="s">
        <v>1759</v>
      </c>
      <c r="B597" s="11" t="s">
        <v>1758</v>
      </c>
      <c r="C597" s="3" t="s">
        <v>1757</v>
      </c>
      <c r="D597" s="3" t="s">
        <v>1751</v>
      </c>
      <c r="E597" s="3" t="s">
        <v>1760</v>
      </c>
    </row>
    <row r="598" spans="1:5">
      <c r="A598" s="12" t="s">
        <v>1249</v>
      </c>
      <c r="B598" s="11" t="s">
        <v>1248</v>
      </c>
      <c r="C598" s="3" t="s">
        <v>1247</v>
      </c>
    </row>
    <row r="599" spans="1:5">
      <c r="A599" s="12" t="s">
        <v>1765</v>
      </c>
      <c r="B599" s="11" t="s">
        <v>1764</v>
      </c>
      <c r="C599" s="3" t="s">
        <v>1761</v>
      </c>
      <c r="D599" s="3" t="s">
        <v>1763</v>
      </c>
      <c r="E599" s="3" t="s">
        <v>1762</v>
      </c>
    </row>
    <row r="600" spans="1:5">
      <c r="A600" s="12" t="s">
        <v>1767</v>
      </c>
      <c r="B600" s="11" t="s">
        <v>1766</v>
      </c>
      <c r="C600" s="3" t="s">
        <v>1572</v>
      </c>
      <c r="D600" s="3" t="s">
        <v>1763</v>
      </c>
      <c r="E600" s="3" t="s">
        <v>1762</v>
      </c>
    </row>
    <row r="601" spans="1:5">
      <c r="A601" s="12" t="s">
        <v>1574</v>
      </c>
      <c r="B601" s="11" t="s">
        <v>1769</v>
      </c>
      <c r="C601" s="3" t="s">
        <v>1768</v>
      </c>
      <c r="D601" s="3" t="s">
        <v>1763</v>
      </c>
      <c r="E601" s="3" t="s">
        <v>1762</v>
      </c>
    </row>
    <row r="602" spans="1:5">
      <c r="A602" s="12" t="s">
        <v>1772</v>
      </c>
      <c r="B602" s="11" t="s">
        <v>1771</v>
      </c>
      <c r="C602" s="3" t="s">
        <v>1770</v>
      </c>
      <c r="D602" s="3" t="s">
        <v>1773</v>
      </c>
      <c r="E602" s="3" t="s">
        <v>1774</v>
      </c>
    </row>
    <row r="603" spans="1:5">
      <c r="A603" s="12" t="s">
        <v>1777</v>
      </c>
      <c r="B603" s="11" t="s">
        <v>1776</v>
      </c>
      <c r="C603" s="3" t="s">
        <v>1775</v>
      </c>
    </row>
    <row r="604" spans="1:5">
      <c r="A604" s="12" t="s">
        <v>1780</v>
      </c>
      <c r="B604" s="11" t="s">
        <v>1779</v>
      </c>
      <c r="C604" s="3" t="s">
        <v>1778</v>
      </c>
      <c r="D604" s="3" t="s">
        <v>1781</v>
      </c>
      <c r="E604" s="3" t="s">
        <v>1782</v>
      </c>
    </row>
    <row r="605" spans="1:5">
      <c r="A605" s="12" t="s">
        <v>1339</v>
      </c>
      <c r="B605" s="11" t="s">
        <v>1338</v>
      </c>
      <c r="C605" s="3" t="s">
        <v>1783</v>
      </c>
    </row>
    <row r="606" spans="1:5">
      <c r="A606" s="12" t="s">
        <v>1786</v>
      </c>
      <c r="B606" s="11" t="s">
        <v>1785</v>
      </c>
      <c r="C606" s="3" t="s">
        <v>1784</v>
      </c>
    </row>
    <row r="607" spans="1:5">
      <c r="A607" s="12" t="s">
        <v>1789</v>
      </c>
      <c r="B607" s="11" t="s">
        <v>1788</v>
      </c>
      <c r="C607" s="3" t="s">
        <v>1787</v>
      </c>
    </row>
    <row r="608" spans="1:5">
      <c r="A608" s="12" t="s">
        <v>1792</v>
      </c>
      <c r="B608" s="11" t="s">
        <v>1791</v>
      </c>
      <c r="C608" s="3" t="s">
        <v>1790</v>
      </c>
    </row>
    <row r="609" spans="1:5">
      <c r="A609" s="12" t="s">
        <v>1794</v>
      </c>
      <c r="B609" s="11" t="s">
        <v>1793</v>
      </c>
      <c r="C609" s="3" t="s">
        <v>1795</v>
      </c>
    </row>
    <row r="610" spans="1:5">
      <c r="A610" s="12" t="s">
        <v>1798</v>
      </c>
      <c r="B610" s="11" t="s">
        <v>1797</v>
      </c>
      <c r="C610" s="3" t="s">
        <v>1796</v>
      </c>
    </row>
    <row r="611" spans="1:5">
      <c r="A611" s="12" t="s">
        <v>1801</v>
      </c>
      <c r="B611" s="11" t="s">
        <v>1800</v>
      </c>
      <c r="C611" s="3" t="s">
        <v>1799</v>
      </c>
    </row>
    <row r="612" spans="1:5">
      <c r="A612" s="12" t="s">
        <v>1804</v>
      </c>
      <c r="B612" s="11" t="s">
        <v>1803</v>
      </c>
      <c r="C612" s="3" t="s">
        <v>1802</v>
      </c>
    </row>
    <row r="613" spans="1:5">
      <c r="A613" s="12" t="s">
        <v>752</v>
      </c>
      <c r="B613" s="11" t="s">
        <v>751</v>
      </c>
      <c r="C613" s="3" t="s">
        <v>750</v>
      </c>
    </row>
    <row r="614" spans="1:5">
      <c r="A614" s="12" t="s">
        <v>1807</v>
      </c>
      <c r="B614" s="11" t="s">
        <v>1806</v>
      </c>
      <c r="C614" s="3" t="s">
        <v>1805</v>
      </c>
    </row>
    <row r="615" spans="1:5">
      <c r="A615" s="12" t="s">
        <v>1810</v>
      </c>
      <c r="B615" s="11" t="s">
        <v>1809</v>
      </c>
      <c r="C615" s="3" t="s">
        <v>1808</v>
      </c>
    </row>
    <row r="616" spans="1:5">
      <c r="A616" s="12" t="s">
        <v>1814</v>
      </c>
      <c r="B616" s="11" t="s">
        <v>1813</v>
      </c>
      <c r="C616" s="3" t="s">
        <v>1812</v>
      </c>
      <c r="D616" s="3" t="s">
        <v>1811</v>
      </c>
    </row>
    <row r="617" spans="1:5">
      <c r="A617" s="12" t="s">
        <v>1817</v>
      </c>
      <c r="B617" s="11" t="s">
        <v>1816</v>
      </c>
      <c r="C617" s="3" t="s">
        <v>1815</v>
      </c>
    </row>
    <row r="618" spans="1:5">
      <c r="A618" s="12" t="s">
        <v>1819</v>
      </c>
      <c r="B618" s="11" t="s">
        <v>1818</v>
      </c>
      <c r="C618" s="3" t="s">
        <v>1820</v>
      </c>
    </row>
    <row r="619" spans="1:5">
      <c r="A619" s="12" t="s">
        <v>687</v>
      </c>
      <c r="B619" s="11" t="s">
        <v>686</v>
      </c>
      <c r="C619" s="3" t="s">
        <v>685</v>
      </c>
    </row>
    <row r="620" spans="1:5">
      <c r="A620" s="12" t="s">
        <v>1822</v>
      </c>
      <c r="B620" s="11" t="s">
        <v>1821</v>
      </c>
      <c r="C620" s="3" t="s">
        <v>1380</v>
      </c>
    </row>
    <row r="621" spans="1:5">
      <c r="A621" s="12" t="s">
        <v>630</v>
      </c>
      <c r="B621" s="11" t="s">
        <v>629</v>
      </c>
      <c r="C621" s="3" t="s">
        <v>1823</v>
      </c>
    </row>
    <row r="622" spans="1:5">
      <c r="A622" s="12" t="s">
        <v>1826</v>
      </c>
      <c r="B622" s="11" t="s">
        <v>1825</v>
      </c>
      <c r="C622" s="3" t="s">
        <v>1824</v>
      </c>
    </row>
    <row r="623" spans="1:5">
      <c r="A623" s="12" t="s">
        <v>1829</v>
      </c>
      <c r="B623" s="11" t="s">
        <v>1828</v>
      </c>
      <c r="C623" s="3" t="s">
        <v>1827</v>
      </c>
      <c r="D623" s="3" t="s">
        <v>1781</v>
      </c>
      <c r="E623" s="3" t="s">
        <v>1782</v>
      </c>
    </row>
    <row r="624" spans="1:5">
      <c r="A624" s="12" t="s">
        <v>866</v>
      </c>
      <c r="B624" s="11" t="s">
        <v>865</v>
      </c>
      <c r="C624" s="3" t="s">
        <v>864</v>
      </c>
    </row>
    <row r="625" spans="1:5">
      <c r="A625" s="12" t="s">
        <v>1832</v>
      </c>
      <c r="B625" s="11" t="s">
        <v>1831</v>
      </c>
      <c r="C625" s="3" t="s">
        <v>1830</v>
      </c>
    </row>
    <row r="626" spans="1:5">
      <c r="A626" s="12" t="s">
        <v>1835</v>
      </c>
      <c r="B626" s="11" t="s">
        <v>1834</v>
      </c>
      <c r="C626" s="3" t="s">
        <v>1833</v>
      </c>
    </row>
    <row r="627" spans="1:5">
      <c r="A627" s="12" t="s">
        <v>1838</v>
      </c>
      <c r="B627" s="11" t="s">
        <v>1837</v>
      </c>
      <c r="C627" s="3" t="s">
        <v>1836</v>
      </c>
      <c r="D627" s="3" t="s">
        <v>1839</v>
      </c>
      <c r="E627" s="95" t="s">
        <v>1840</v>
      </c>
    </row>
    <row r="628" spans="1:5" ht="21">
      <c r="A628" s="100">
        <v>42416</v>
      </c>
      <c r="B628" s="100"/>
      <c r="C628" s="100"/>
      <c r="D628" s="100"/>
      <c r="E628" s="100"/>
    </row>
    <row r="629" spans="1:5">
      <c r="A629" s="12" t="s">
        <v>752</v>
      </c>
      <c r="B629" s="11" t="s">
        <v>751</v>
      </c>
      <c r="C629" s="3" t="s">
        <v>750</v>
      </c>
    </row>
    <row r="630" spans="1:5">
      <c r="A630" s="12" t="s">
        <v>1843</v>
      </c>
      <c r="B630" s="11" t="s">
        <v>1842</v>
      </c>
      <c r="C630" s="3" t="s">
        <v>1841</v>
      </c>
    </row>
    <row r="631" spans="1:5">
      <c r="A631" s="12" t="s">
        <v>1593</v>
      </c>
      <c r="B631" s="11" t="s">
        <v>1592</v>
      </c>
      <c r="C631" s="3" t="s">
        <v>1844</v>
      </c>
      <c r="D631" s="3" t="s">
        <v>1751</v>
      </c>
      <c r="E631" s="95" t="s">
        <v>1760</v>
      </c>
    </row>
    <row r="632" spans="1:5">
      <c r="A632" s="12" t="s">
        <v>1593</v>
      </c>
      <c r="B632" s="11" t="s">
        <v>1592</v>
      </c>
      <c r="C632" s="3" t="s">
        <v>1591</v>
      </c>
    </row>
    <row r="633" spans="1:5">
      <c r="A633" s="12" t="s">
        <v>621</v>
      </c>
      <c r="B633" s="11" t="s">
        <v>620</v>
      </c>
      <c r="C633" s="3" t="s">
        <v>619</v>
      </c>
    </row>
    <row r="634" spans="1:5">
      <c r="A634" s="12" t="s">
        <v>1847</v>
      </c>
      <c r="B634" s="11" t="s">
        <v>1846</v>
      </c>
      <c r="C634" s="3" t="s">
        <v>1845</v>
      </c>
    </row>
    <row r="635" spans="1:5">
      <c r="A635" s="12" t="s">
        <v>497</v>
      </c>
      <c r="B635" s="11" t="s">
        <v>1848</v>
      </c>
      <c r="C635" s="3" t="s">
        <v>1849</v>
      </c>
      <c r="D635" s="3" t="s">
        <v>1850</v>
      </c>
      <c r="E635" s="3" t="s">
        <v>1851</v>
      </c>
    </row>
    <row r="636" spans="1:5">
      <c r="A636" s="12" t="s">
        <v>1483</v>
      </c>
      <c r="B636" s="11" t="s">
        <v>1482</v>
      </c>
      <c r="C636" s="3" t="s">
        <v>1481</v>
      </c>
    </row>
    <row r="637" spans="1:5">
      <c r="A637" s="12" t="s">
        <v>1056</v>
      </c>
      <c r="B637" s="11" t="s">
        <v>1055</v>
      </c>
      <c r="C637" s="3" t="s">
        <v>1852</v>
      </c>
    </row>
    <row r="638" spans="1:5">
      <c r="A638" s="12" t="s">
        <v>1798</v>
      </c>
      <c r="B638" s="11" t="s">
        <v>1797</v>
      </c>
      <c r="C638" s="3" t="s">
        <v>1796</v>
      </c>
    </row>
    <row r="639" spans="1:5">
      <c r="A639" s="12" t="s">
        <v>1855</v>
      </c>
      <c r="B639" s="11" t="s">
        <v>1854</v>
      </c>
      <c r="C639" s="3" t="s">
        <v>1853</v>
      </c>
    </row>
    <row r="640" spans="1:5">
      <c r="A640" s="12" t="s">
        <v>1350</v>
      </c>
      <c r="B640" s="11" t="s">
        <v>1349</v>
      </c>
      <c r="C640" s="3" t="s">
        <v>1348</v>
      </c>
      <c r="D640" s="3" t="s">
        <v>1856</v>
      </c>
      <c r="E640" s="3" t="s">
        <v>1857</v>
      </c>
    </row>
    <row r="641" spans="1:5">
      <c r="A641" s="12" t="s">
        <v>1860</v>
      </c>
      <c r="B641" s="11" t="s">
        <v>1859</v>
      </c>
      <c r="C641" s="3" t="s">
        <v>1858</v>
      </c>
    </row>
    <row r="642" spans="1:5">
      <c r="A642" s="12" t="s">
        <v>822</v>
      </c>
      <c r="B642" s="11" t="s">
        <v>821</v>
      </c>
      <c r="C642" s="3" t="s">
        <v>1446</v>
      </c>
    </row>
    <row r="643" spans="1:5">
      <c r="A643" s="12" t="s">
        <v>1756</v>
      </c>
      <c r="B643" s="11" t="s">
        <v>1862</v>
      </c>
      <c r="C643" s="3" t="s">
        <v>1861</v>
      </c>
    </row>
    <row r="644" spans="1:5" ht="21">
      <c r="A644" s="100">
        <v>42417</v>
      </c>
      <c r="B644" s="100"/>
      <c r="C644" s="100"/>
      <c r="D644" s="100"/>
      <c r="E644" s="100"/>
    </row>
    <row r="645" spans="1:5">
      <c r="A645" s="12" t="s">
        <v>921</v>
      </c>
      <c r="B645" s="11" t="s">
        <v>920</v>
      </c>
      <c r="C645" s="3" t="s">
        <v>919</v>
      </c>
    </row>
    <row r="646" spans="1:5">
      <c r="A646" s="12" t="s">
        <v>1865</v>
      </c>
      <c r="B646" s="11" t="s">
        <v>1864</v>
      </c>
      <c r="C646" s="3" t="s">
        <v>1863</v>
      </c>
    </row>
    <row r="647" spans="1:5">
      <c r="A647" s="12" t="s">
        <v>389</v>
      </c>
      <c r="B647" s="11" t="s">
        <v>388</v>
      </c>
      <c r="C647" s="3" t="s">
        <v>387</v>
      </c>
      <c r="D647" s="3" t="s">
        <v>1866</v>
      </c>
    </row>
    <row r="648" spans="1:5">
      <c r="A648" s="12" t="s">
        <v>875</v>
      </c>
      <c r="B648" s="11" t="s">
        <v>1867</v>
      </c>
      <c r="C648" s="3" t="s">
        <v>873</v>
      </c>
    </row>
    <row r="649" spans="1:5">
      <c r="A649" s="12" t="s">
        <v>1871</v>
      </c>
      <c r="B649" s="11" t="s">
        <v>1870</v>
      </c>
      <c r="C649" s="3" t="s">
        <v>1868</v>
      </c>
    </row>
    <row r="650" spans="1:5">
      <c r="A650" s="12" t="s">
        <v>1871</v>
      </c>
      <c r="B650" s="11" t="s">
        <v>1870</v>
      </c>
      <c r="C650" s="3" t="s">
        <v>1869</v>
      </c>
    </row>
    <row r="651" spans="1:5">
      <c r="A651" s="12" t="s">
        <v>1202</v>
      </c>
      <c r="B651" s="11" t="s">
        <v>1201</v>
      </c>
      <c r="C651" s="3" t="s">
        <v>1872</v>
      </c>
    </row>
    <row r="652" spans="1:5">
      <c r="A652" s="12" t="s">
        <v>849</v>
      </c>
      <c r="B652" s="11" t="s">
        <v>848</v>
      </c>
      <c r="C652" s="3" t="s">
        <v>1873</v>
      </c>
    </row>
    <row r="653" spans="1:5">
      <c r="A653" s="12" t="s">
        <v>767</v>
      </c>
      <c r="B653" s="11" t="s">
        <v>1678</v>
      </c>
      <c r="C653" s="3" t="s">
        <v>768</v>
      </c>
    </row>
    <row r="654" spans="1:5">
      <c r="A654" s="12" t="s">
        <v>1441</v>
      </c>
      <c r="B654" s="11" t="s">
        <v>1875</v>
      </c>
      <c r="C654" s="3" t="s">
        <v>1874</v>
      </c>
    </row>
    <row r="655" spans="1:5">
      <c r="A655" s="12" t="s">
        <v>1878</v>
      </c>
      <c r="B655" s="11" t="s">
        <v>1877</v>
      </c>
      <c r="C655" s="3" t="s">
        <v>1876</v>
      </c>
    </row>
    <row r="656" spans="1:5">
      <c r="A656" s="12" t="s">
        <v>1625</v>
      </c>
      <c r="B656" s="11" t="s">
        <v>1624</v>
      </c>
      <c r="C656" s="3" t="s">
        <v>1879</v>
      </c>
    </row>
    <row r="657" spans="1:5">
      <c r="A657" s="12" t="s">
        <v>1881</v>
      </c>
      <c r="B657" s="11" t="s">
        <v>1880</v>
      </c>
      <c r="C657" s="3" t="s">
        <v>1162</v>
      </c>
    </row>
    <row r="658" spans="1:5">
      <c r="A658" s="12" t="s">
        <v>482</v>
      </c>
      <c r="B658" s="11" t="s">
        <v>481</v>
      </c>
      <c r="C658" s="3" t="s">
        <v>480</v>
      </c>
      <c r="D658" s="3" t="s">
        <v>1882</v>
      </c>
    </row>
    <row r="659" spans="1:5">
      <c r="A659" s="12" t="s">
        <v>1884</v>
      </c>
      <c r="B659" s="11" t="s">
        <v>1883</v>
      </c>
      <c r="C659" s="3" t="s">
        <v>1571</v>
      </c>
    </row>
    <row r="660" spans="1:5">
      <c r="A660" s="12" t="s">
        <v>1886</v>
      </c>
      <c r="B660" s="11" t="s">
        <v>1885</v>
      </c>
      <c r="C660" s="3" t="s">
        <v>1002</v>
      </c>
    </row>
    <row r="661" spans="1:5">
      <c r="A661" s="12" t="s">
        <v>1888</v>
      </c>
      <c r="B661" s="11" t="s">
        <v>1887</v>
      </c>
      <c r="C661" s="3" t="s">
        <v>1550</v>
      </c>
    </row>
    <row r="662" spans="1:5" ht="21">
      <c r="A662" s="100">
        <v>42418</v>
      </c>
      <c r="B662" s="100"/>
      <c r="C662" s="100"/>
      <c r="D662" s="100"/>
      <c r="E662" s="100"/>
    </row>
    <row r="663" spans="1:5">
      <c r="A663" s="12" t="s">
        <v>1890</v>
      </c>
      <c r="B663" s="11" t="s">
        <v>1889</v>
      </c>
      <c r="C663" s="3" t="s">
        <v>1111</v>
      </c>
    </row>
    <row r="664" spans="1:5">
      <c r="A664" s="12" t="s">
        <v>646</v>
      </c>
      <c r="B664" s="11" t="s">
        <v>645</v>
      </c>
      <c r="C664" s="3" t="s">
        <v>644</v>
      </c>
    </row>
    <row r="665" spans="1:5">
      <c r="A665" s="12" t="s">
        <v>822</v>
      </c>
      <c r="B665" s="11" t="s">
        <v>821</v>
      </c>
      <c r="C665" s="3" t="s">
        <v>1446</v>
      </c>
    </row>
    <row r="666" spans="1:5">
      <c r="A666" s="12" t="s">
        <v>1893</v>
      </c>
      <c r="B666" s="11" t="s">
        <v>1892</v>
      </c>
      <c r="C666" s="3" t="s">
        <v>1891</v>
      </c>
    </row>
    <row r="667" spans="1:5">
      <c r="A667" s="12" t="s">
        <v>1277</v>
      </c>
      <c r="B667" s="11" t="s">
        <v>1276</v>
      </c>
      <c r="C667" s="3" t="s">
        <v>1894</v>
      </c>
    </row>
    <row r="668" spans="1:5">
      <c r="A668" s="12" t="s">
        <v>1897</v>
      </c>
      <c r="B668" s="11" t="s">
        <v>1896</v>
      </c>
      <c r="C668" s="3" t="s">
        <v>1895</v>
      </c>
    </row>
    <row r="669" spans="1:5">
      <c r="A669" s="12" t="s">
        <v>1899</v>
      </c>
      <c r="B669" s="11" t="s">
        <v>1898</v>
      </c>
      <c r="C669" s="3" t="s">
        <v>1899</v>
      </c>
    </row>
    <row r="670" spans="1:5">
      <c r="A670" s="12" t="s">
        <v>1902</v>
      </c>
      <c r="B670" s="11" t="s">
        <v>1901</v>
      </c>
      <c r="C670" s="3" t="s">
        <v>1900</v>
      </c>
    </row>
    <row r="671" spans="1:5">
      <c r="A671" s="12" t="s">
        <v>1905</v>
      </c>
      <c r="B671" s="11" t="s">
        <v>1904</v>
      </c>
      <c r="C671" s="3" t="s">
        <v>826</v>
      </c>
    </row>
    <row r="672" spans="1:5">
      <c r="A672" s="12" t="s">
        <v>1908</v>
      </c>
      <c r="B672" s="11" t="s">
        <v>1907</v>
      </c>
      <c r="C672" s="3" t="s">
        <v>1906</v>
      </c>
    </row>
    <row r="673" spans="1:5">
      <c r="A673" s="12" t="s">
        <v>1910</v>
      </c>
      <c r="B673" s="11" t="s">
        <v>1909</v>
      </c>
      <c r="C673" s="3" t="s">
        <v>1903</v>
      </c>
    </row>
    <row r="674" spans="1:5">
      <c r="A674" s="12" t="s">
        <v>450</v>
      </c>
      <c r="B674" s="96" t="s">
        <v>449</v>
      </c>
      <c r="C674" s="3" t="s">
        <v>1086</v>
      </c>
    </row>
    <row r="675" spans="1:5" ht="21">
      <c r="A675" s="100">
        <v>42422</v>
      </c>
      <c r="B675" s="100"/>
      <c r="C675" s="100"/>
      <c r="D675" s="100"/>
      <c r="E675" s="100"/>
    </row>
    <row r="676" spans="1:5">
      <c r="A676" s="12" t="s">
        <v>1913</v>
      </c>
      <c r="B676" s="11" t="s">
        <v>1912</v>
      </c>
      <c r="C676" s="3" t="s">
        <v>1911</v>
      </c>
    </row>
    <row r="677" spans="1:5">
      <c r="A677" s="12" t="s">
        <v>1916</v>
      </c>
      <c r="B677" s="11" t="s">
        <v>1915</v>
      </c>
      <c r="C677" s="3" t="s">
        <v>1914</v>
      </c>
    </row>
    <row r="678" spans="1:5">
      <c r="A678" s="12" t="s">
        <v>1460</v>
      </c>
      <c r="B678" s="11" t="s">
        <v>1459</v>
      </c>
      <c r="C678" s="3" t="s">
        <v>1458</v>
      </c>
    </row>
    <row r="679" spans="1:5">
      <c r="A679" s="12" t="s">
        <v>1919</v>
      </c>
      <c r="B679" s="11" t="s">
        <v>1918</v>
      </c>
      <c r="C679" s="3" t="s">
        <v>1917</v>
      </c>
    </row>
    <row r="680" spans="1:5">
      <c r="A680" s="12" t="s">
        <v>1890</v>
      </c>
      <c r="B680" s="11" t="s">
        <v>1889</v>
      </c>
      <c r="C680" s="3" t="s">
        <v>1863</v>
      </c>
    </row>
    <row r="681" spans="1:5">
      <c r="A681" s="12" t="s">
        <v>1921</v>
      </c>
      <c r="B681" s="11" t="s">
        <v>1920</v>
      </c>
      <c r="C681" s="3" t="s">
        <v>1922</v>
      </c>
    </row>
    <row r="682" spans="1:5">
      <c r="A682" s="12" t="s">
        <v>1925</v>
      </c>
      <c r="B682" s="11" t="s">
        <v>1924</v>
      </c>
      <c r="C682" s="3" t="s">
        <v>1923</v>
      </c>
    </row>
    <row r="683" spans="1:5">
      <c r="A683" s="12" t="s">
        <v>1928</v>
      </c>
      <c r="B683" s="11" t="s">
        <v>1927</v>
      </c>
      <c r="C683" s="3" t="s">
        <v>1926</v>
      </c>
    </row>
    <row r="684" spans="1:5">
      <c r="A684" s="12" t="s">
        <v>1930</v>
      </c>
      <c r="B684" s="11" t="s">
        <v>1929</v>
      </c>
      <c r="C684" s="3" t="s">
        <v>1874</v>
      </c>
    </row>
    <row r="685" spans="1:5">
      <c r="A685" s="12" t="s">
        <v>1933</v>
      </c>
      <c r="B685" s="11" t="s">
        <v>1932</v>
      </c>
      <c r="C685" s="3" t="s">
        <v>1931</v>
      </c>
      <c r="D685" s="3" t="s">
        <v>1934</v>
      </c>
    </row>
    <row r="686" spans="1:5">
      <c r="A686" s="12" t="s">
        <v>888</v>
      </c>
      <c r="B686" s="11" t="s">
        <v>887</v>
      </c>
      <c r="C686" s="3" t="s">
        <v>886</v>
      </c>
    </row>
    <row r="687" spans="1:5">
      <c r="A687" s="12" t="s">
        <v>1937</v>
      </c>
      <c r="B687" s="11" t="s">
        <v>1936</v>
      </c>
      <c r="C687" s="3" t="s">
        <v>1935</v>
      </c>
    </row>
    <row r="688" spans="1:5">
      <c r="A688" s="12" t="s">
        <v>1940</v>
      </c>
      <c r="B688" s="11" t="s">
        <v>1939</v>
      </c>
      <c r="C688" s="3" t="s">
        <v>1938</v>
      </c>
    </row>
    <row r="689" spans="1:5">
      <c r="A689" s="12" t="s">
        <v>1943</v>
      </c>
      <c r="B689" s="11" t="s">
        <v>1942</v>
      </c>
      <c r="C689" s="3" t="s">
        <v>1941</v>
      </c>
    </row>
    <row r="690" spans="1:5">
      <c r="A690" s="12" t="s">
        <v>1945</v>
      </c>
      <c r="B690" s="11" t="s">
        <v>1944</v>
      </c>
      <c r="C690" s="3" t="s">
        <v>1946</v>
      </c>
    </row>
    <row r="691" spans="1:5" ht="21">
      <c r="A691" s="100">
        <v>42423</v>
      </c>
      <c r="B691" s="100"/>
      <c r="C691" s="100"/>
      <c r="D691" s="100"/>
      <c r="E691" s="100"/>
    </row>
    <row r="692" spans="1:5">
      <c r="A692" s="12" t="s">
        <v>1890</v>
      </c>
      <c r="B692" s="11" t="s">
        <v>1889</v>
      </c>
      <c r="C692" s="3" t="s">
        <v>1863</v>
      </c>
    </row>
    <row r="693" spans="1:5">
      <c r="A693" s="12" t="s">
        <v>1166</v>
      </c>
      <c r="B693" s="11" t="s">
        <v>1165</v>
      </c>
      <c r="C693" s="3" t="s">
        <v>1167</v>
      </c>
    </row>
    <row r="694" spans="1:5">
      <c r="A694" s="12" t="s">
        <v>1298</v>
      </c>
      <c r="B694" s="11" t="s">
        <v>1297</v>
      </c>
      <c r="C694" s="3" t="s">
        <v>1874</v>
      </c>
    </row>
    <row r="695" spans="1:5">
      <c r="A695" s="12" t="s">
        <v>732</v>
      </c>
      <c r="B695" s="11" t="s">
        <v>731</v>
      </c>
      <c r="C695" s="3" t="s">
        <v>730</v>
      </c>
    </row>
    <row r="696" spans="1:5">
      <c r="A696" s="12" t="s">
        <v>1347</v>
      </c>
      <c r="B696" s="11" t="s">
        <v>1346</v>
      </c>
      <c r="C696" s="3" t="s">
        <v>1345</v>
      </c>
    </row>
    <row r="697" spans="1:5">
      <c r="A697" s="12" t="s">
        <v>1949</v>
      </c>
      <c r="B697" s="11" t="s">
        <v>1948</v>
      </c>
      <c r="C697" s="3" t="s">
        <v>1947</v>
      </c>
    </row>
    <row r="698" spans="1:5">
      <c r="A698" s="12" t="s">
        <v>1952</v>
      </c>
      <c r="B698" s="11" t="s">
        <v>1951</v>
      </c>
      <c r="C698" s="3" t="s">
        <v>1950</v>
      </c>
    </row>
    <row r="699" spans="1:5">
      <c r="A699" s="12" t="s">
        <v>1955</v>
      </c>
      <c r="B699" s="11" t="s">
        <v>1954</v>
      </c>
      <c r="C699" s="3" t="s">
        <v>1953</v>
      </c>
    </row>
    <row r="700" spans="1:5">
      <c r="A700" s="12" t="s">
        <v>1958</v>
      </c>
      <c r="B700" s="11" t="s">
        <v>1957</v>
      </c>
      <c r="C700" s="3" t="s">
        <v>1956</v>
      </c>
    </row>
    <row r="701" spans="1:5">
      <c r="A701" s="12" t="s">
        <v>902</v>
      </c>
      <c r="B701" s="11" t="s">
        <v>901</v>
      </c>
      <c r="C701" s="3" t="s">
        <v>900</v>
      </c>
    </row>
    <row r="702" spans="1:5">
      <c r="A702" s="12" t="s">
        <v>1961</v>
      </c>
      <c r="B702" s="11" t="s">
        <v>1960</v>
      </c>
      <c r="C702" s="3" t="s">
        <v>1959</v>
      </c>
    </row>
    <row r="703" spans="1:5" ht="21">
      <c r="A703" s="100">
        <v>42424</v>
      </c>
      <c r="B703" s="100"/>
      <c r="C703" s="100"/>
      <c r="D703" s="100"/>
      <c r="E703" s="100"/>
    </row>
    <row r="704" spans="1:5">
      <c r="A704" s="12" t="s">
        <v>1964</v>
      </c>
      <c r="B704" s="11" t="s">
        <v>1963</v>
      </c>
      <c r="C704" s="3" t="s">
        <v>1962</v>
      </c>
    </row>
    <row r="705" spans="1:5">
      <c r="A705" s="12" t="s">
        <v>1967</v>
      </c>
      <c r="B705" s="11" t="s">
        <v>1966</v>
      </c>
      <c r="C705" s="3" t="s">
        <v>1965</v>
      </c>
    </row>
    <row r="706" spans="1:5">
      <c r="A706" s="12" t="s">
        <v>1970</v>
      </c>
      <c r="B706" s="11" t="s">
        <v>1969</v>
      </c>
      <c r="C706" s="3" t="s">
        <v>1968</v>
      </c>
    </row>
    <row r="707" spans="1:5">
      <c r="A707" s="12" t="s">
        <v>1973</v>
      </c>
      <c r="B707" s="11" t="s">
        <v>1972</v>
      </c>
      <c r="C707" s="3" t="s">
        <v>1971</v>
      </c>
    </row>
    <row r="708" spans="1:5">
      <c r="A708" s="12" t="s">
        <v>915</v>
      </c>
      <c r="B708" s="11" t="s">
        <v>914</v>
      </c>
      <c r="C708" s="3" t="s">
        <v>951</v>
      </c>
    </row>
    <row r="709" spans="1:5">
      <c r="A709" s="12" t="s">
        <v>1976</v>
      </c>
      <c r="B709" s="11" t="s">
        <v>1975</v>
      </c>
      <c r="C709" s="3" t="s">
        <v>1974</v>
      </c>
    </row>
    <row r="710" spans="1:5">
      <c r="A710" s="12" t="s">
        <v>1137</v>
      </c>
      <c r="B710" s="11" t="s">
        <v>1136</v>
      </c>
      <c r="C710" s="3" t="s">
        <v>1977</v>
      </c>
    </row>
    <row r="711" spans="1:5">
      <c r="A711" s="12" t="s">
        <v>1980</v>
      </c>
      <c r="B711" s="11" t="s">
        <v>1979</v>
      </c>
      <c r="C711" s="3" t="s">
        <v>1978</v>
      </c>
    </row>
    <row r="712" spans="1:5">
      <c r="A712" s="12" t="s">
        <v>1982</v>
      </c>
      <c r="B712" s="11" t="s">
        <v>1981</v>
      </c>
      <c r="C712" s="3" t="s">
        <v>1986</v>
      </c>
    </row>
    <row r="713" spans="1:5">
      <c r="A713" s="12" t="s">
        <v>1985</v>
      </c>
      <c r="B713" s="11" t="s">
        <v>1984</v>
      </c>
      <c r="C713" s="3" t="s">
        <v>1983</v>
      </c>
    </row>
    <row r="714" spans="1:5">
      <c r="A714" s="12" t="s">
        <v>1989</v>
      </c>
      <c r="B714" s="11" t="s">
        <v>1988</v>
      </c>
      <c r="C714" s="3" t="s">
        <v>1987</v>
      </c>
    </row>
    <row r="715" spans="1:5" ht="21">
      <c r="A715" s="100">
        <v>42425</v>
      </c>
      <c r="B715" s="100"/>
      <c r="C715" s="100"/>
      <c r="D715" s="100"/>
      <c r="E715" s="100"/>
    </row>
    <row r="716" spans="1:5">
      <c r="A716" s="12" t="s">
        <v>1992</v>
      </c>
      <c r="B716" s="11" t="s">
        <v>1991</v>
      </c>
      <c r="C716" s="3" t="s">
        <v>1990</v>
      </c>
    </row>
    <row r="717" spans="1:5">
      <c r="A717" s="12" t="s">
        <v>660</v>
      </c>
      <c r="B717" s="11" t="s">
        <v>659</v>
      </c>
      <c r="C717" s="3" t="s">
        <v>1993</v>
      </c>
      <c r="E717" s="3" t="s">
        <v>1994</v>
      </c>
    </row>
    <row r="718" spans="1:5">
      <c r="A718" s="12" t="s">
        <v>1234</v>
      </c>
      <c r="B718" s="11" t="s">
        <v>1233</v>
      </c>
      <c r="C718" s="3" t="s">
        <v>1232</v>
      </c>
    </row>
    <row r="719" spans="1:5">
      <c r="A719" s="12" t="s">
        <v>1277</v>
      </c>
      <c r="B719" s="11" t="s">
        <v>1276</v>
      </c>
      <c r="C719" s="3" t="s">
        <v>1894</v>
      </c>
    </row>
    <row r="720" spans="1:5">
      <c r="A720" s="12" t="s">
        <v>1518</v>
      </c>
      <c r="B720" s="11" t="s">
        <v>1517</v>
      </c>
      <c r="C720" s="3" t="s">
        <v>1516</v>
      </c>
    </row>
    <row r="721" spans="1:5">
      <c r="A721" s="12" t="s">
        <v>1997</v>
      </c>
      <c r="B721" s="11" t="s">
        <v>1996</v>
      </c>
      <c r="C721" s="3" t="s">
        <v>1995</v>
      </c>
    </row>
    <row r="722" spans="1:5">
      <c r="A722" s="12" t="s">
        <v>2000</v>
      </c>
      <c r="B722" s="11" t="s">
        <v>1999</v>
      </c>
      <c r="C722" s="3" t="s">
        <v>1998</v>
      </c>
    </row>
    <row r="723" spans="1:5">
      <c r="A723" s="12" t="s">
        <v>1205</v>
      </c>
      <c r="B723" s="11" t="s">
        <v>2001</v>
      </c>
      <c r="C723" s="3" t="s">
        <v>1203</v>
      </c>
    </row>
    <row r="724" spans="1:5">
      <c r="A724" s="12" t="s">
        <v>1277</v>
      </c>
      <c r="B724" s="11" t="s">
        <v>1276</v>
      </c>
      <c r="C724" s="3" t="s">
        <v>1894</v>
      </c>
    </row>
    <row r="725" spans="1:5">
      <c r="A725" s="12" t="s">
        <v>822</v>
      </c>
      <c r="B725" s="11" t="s">
        <v>821</v>
      </c>
      <c r="C725" s="3" t="s">
        <v>1446</v>
      </c>
      <c r="D725" s="3" t="s">
        <v>1447</v>
      </c>
    </row>
    <row r="726" spans="1:5">
      <c r="A726" s="12" t="s">
        <v>2003</v>
      </c>
      <c r="B726" s="11" t="s">
        <v>2002</v>
      </c>
      <c r="C726" s="3" t="s">
        <v>2004</v>
      </c>
    </row>
    <row r="727" spans="1:5">
      <c r="A727" s="12" t="s">
        <v>2007</v>
      </c>
      <c r="B727" s="11" t="s">
        <v>2006</v>
      </c>
      <c r="C727" s="3" t="s">
        <v>2005</v>
      </c>
    </row>
    <row r="728" spans="1:5">
      <c r="A728" s="12" t="s">
        <v>2009</v>
      </c>
      <c r="B728" s="11" t="s">
        <v>2008</v>
      </c>
      <c r="C728" s="3" t="s">
        <v>1111</v>
      </c>
    </row>
    <row r="729" spans="1:5">
      <c r="A729" s="12" t="s">
        <v>2011</v>
      </c>
      <c r="B729" s="11" t="s">
        <v>2010</v>
      </c>
      <c r="C729" s="3" t="s">
        <v>1008</v>
      </c>
    </row>
    <row r="730" spans="1:5">
      <c r="A730" s="12" t="s">
        <v>2014</v>
      </c>
      <c r="B730" s="11" t="s">
        <v>2013</v>
      </c>
      <c r="C730" s="3" t="s">
        <v>2012</v>
      </c>
    </row>
    <row r="731" spans="1:5">
      <c r="A731" s="12" t="s">
        <v>2016</v>
      </c>
      <c r="B731" s="11" t="s">
        <v>2015</v>
      </c>
      <c r="C731" s="3" t="s">
        <v>1565</v>
      </c>
    </row>
    <row r="732" spans="1:5">
      <c r="A732" s="12" t="s">
        <v>1710</v>
      </c>
      <c r="B732" s="11" t="s">
        <v>1709</v>
      </c>
      <c r="C732" s="3" t="s">
        <v>1708</v>
      </c>
    </row>
    <row r="733" spans="1:5">
      <c r="A733" s="12" t="s">
        <v>2019</v>
      </c>
      <c r="B733" s="11" t="s">
        <v>2018</v>
      </c>
      <c r="C733" s="3" t="s">
        <v>2017</v>
      </c>
    </row>
    <row r="734" spans="1:5" ht="21">
      <c r="A734" s="100">
        <v>42428</v>
      </c>
      <c r="B734" s="100"/>
      <c r="C734" s="100"/>
      <c r="D734" s="100"/>
      <c r="E734" s="100"/>
    </row>
    <row r="735" spans="1:5">
      <c r="A735" s="12" t="s">
        <v>878</v>
      </c>
      <c r="B735" s="11" t="s">
        <v>877</v>
      </c>
      <c r="C735" s="3" t="s">
        <v>876</v>
      </c>
    </row>
    <row r="736" spans="1:5">
      <c r="A736" s="12" t="s">
        <v>2021</v>
      </c>
      <c r="B736" s="11" t="s">
        <v>2020</v>
      </c>
      <c r="C736" s="3" t="s">
        <v>2023</v>
      </c>
    </row>
    <row r="737" spans="1:5">
      <c r="A737" s="12" t="s">
        <v>2025</v>
      </c>
      <c r="B737" s="11" t="s">
        <v>2024</v>
      </c>
      <c r="C737" s="3" t="s">
        <v>2022</v>
      </c>
    </row>
    <row r="738" spans="1:5">
      <c r="A738" s="12" t="s">
        <v>497</v>
      </c>
      <c r="B738" s="11" t="s">
        <v>2027</v>
      </c>
      <c r="C738" s="3" t="s">
        <v>2026</v>
      </c>
    </row>
    <row r="739" spans="1:5" ht="21">
      <c r="A739" s="100">
        <v>42429</v>
      </c>
      <c r="B739" s="100"/>
      <c r="C739" s="100"/>
      <c r="D739" s="100"/>
      <c r="E739" s="100"/>
    </row>
    <row r="740" spans="1:5">
      <c r="A740" s="12" t="s">
        <v>2029</v>
      </c>
      <c r="B740" s="11" t="s">
        <v>2028</v>
      </c>
      <c r="C740" s="3" t="s">
        <v>1872</v>
      </c>
    </row>
    <row r="741" spans="1:5">
      <c r="A741" s="12" t="s">
        <v>2032</v>
      </c>
      <c r="B741" s="11" t="s">
        <v>2031</v>
      </c>
      <c r="C741" s="3" t="s">
        <v>2030</v>
      </c>
    </row>
    <row r="742" spans="1:5">
      <c r="A742" s="12" t="s">
        <v>2034</v>
      </c>
      <c r="B742" s="11" t="s">
        <v>2033</v>
      </c>
      <c r="C742" s="3" t="s">
        <v>1731</v>
      </c>
    </row>
    <row r="743" spans="1:5">
      <c r="A743" s="12" t="s">
        <v>2036</v>
      </c>
      <c r="B743" s="11" t="s">
        <v>2035</v>
      </c>
      <c r="C743" s="3" t="s">
        <v>1874</v>
      </c>
    </row>
    <row r="744" spans="1:5">
      <c r="A744" s="12" t="s">
        <v>2038</v>
      </c>
      <c r="B744" s="11" t="s">
        <v>2037</v>
      </c>
      <c r="C744" s="3" t="s">
        <v>400</v>
      </c>
    </row>
    <row r="745" spans="1:5">
      <c r="A745" s="12" t="s">
        <v>1930</v>
      </c>
      <c r="B745" s="11" t="s">
        <v>1929</v>
      </c>
      <c r="C745" s="3" t="s">
        <v>2039</v>
      </c>
    </row>
    <row r="746" spans="1:5">
      <c r="A746" s="12" t="s">
        <v>2042</v>
      </c>
      <c r="B746" s="11" t="s">
        <v>2041</v>
      </c>
      <c r="C746" s="3" t="s">
        <v>2040</v>
      </c>
    </row>
    <row r="747" spans="1:5">
      <c r="A747" s="12" t="s">
        <v>2045</v>
      </c>
      <c r="B747" s="11" t="s">
        <v>2044</v>
      </c>
      <c r="C747" s="3" t="s">
        <v>2043</v>
      </c>
    </row>
    <row r="748" spans="1:5">
      <c r="A748" s="12" t="s">
        <v>2048</v>
      </c>
      <c r="B748" s="11" t="s">
        <v>2047</v>
      </c>
      <c r="C748" s="3" t="s">
        <v>2046</v>
      </c>
    </row>
    <row r="749" spans="1:5">
      <c r="A749" s="12" t="s">
        <v>2051</v>
      </c>
      <c r="B749" s="11" t="s">
        <v>2050</v>
      </c>
      <c r="C749" s="3" t="s">
        <v>2049</v>
      </c>
    </row>
    <row r="750" spans="1:5">
      <c r="A750" s="12" t="s">
        <v>2054</v>
      </c>
      <c r="B750" s="11" t="s">
        <v>2053</v>
      </c>
      <c r="C750" s="3" t="s">
        <v>2052</v>
      </c>
    </row>
    <row r="751" spans="1:5">
      <c r="A751" s="12" t="s">
        <v>2057</v>
      </c>
      <c r="B751" s="11" t="s">
        <v>2056</v>
      </c>
      <c r="C751" s="3" t="s">
        <v>2055</v>
      </c>
    </row>
    <row r="752" spans="1:5">
      <c r="A752" s="12" t="s">
        <v>767</v>
      </c>
      <c r="B752" s="11" t="s">
        <v>1678</v>
      </c>
      <c r="C752" s="3" t="s">
        <v>768</v>
      </c>
    </row>
    <row r="753" spans="1:5">
      <c r="A753" s="12" t="s">
        <v>1583</v>
      </c>
      <c r="B753" s="11" t="s">
        <v>1582</v>
      </c>
      <c r="C753" s="3" t="s">
        <v>1581</v>
      </c>
    </row>
    <row r="754" spans="1:5">
      <c r="A754" s="12" t="s">
        <v>2059</v>
      </c>
      <c r="B754" s="11" t="s">
        <v>2058</v>
      </c>
      <c r="C754" s="3" t="s">
        <v>2060</v>
      </c>
    </row>
    <row r="755" spans="1:5">
      <c r="A755" s="12" t="s">
        <v>2063</v>
      </c>
      <c r="B755" s="11" t="s">
        <v>2062</v>
      </c>
      <c r="C755" s="3" t="s">
        <v>2061</v>
      </c>
    </row>
    <row r="756" spans="1:5">
      <c r="A756" s="12" t="s">
        <v>2066</v>
      </c>
      <c r="B756" s="11" t="s">
        <v>2065</v>
      </c>
      <c r="C756" s="3" t="s">
        <v>2064</v>
      </c>
    </row>
    <row r="757" spans="1:5">
      <c r="A757" s="12" t="s">
        <v>693</v>
      </c>
      <c r="B757" s="11" t="s">
        <v>692</v>
      </c>
      <c r="C757" s="3" t="s">
        <v>2067</v>
      </c>
      <c r="E757" s="3" t="s">
        <v>2068</v>
      </c>
    </row>
    <row r="758" spans="1:5">
      <c r="A758" s="12" t="s">
        <v>2071</v>
      </c>
      <c r="B758" s="11" t="s">
        <v>2070</v>
      </c>
      <c r="C758" s="3" t="s">
        <v>2069</v>
      </c>
    </row>
    <row r="759" spans="1:5">
      <c r="A759" s="12" t="s">
        <v>2073</v>
      </c>
      <c r="B759" s="11" t="s">
        <v>2072</v>
      </c>
      <c r="C759" s="3" t="s">
        <v>2074</v>
      </c>
    </row>
    <row r="760" spans="1:5" ht="21">
      <c r="A760" s="100">
        <v>42430</v>
      </c>
      <c r="B760" s="100"/>
      <c r="C760" s="100"/>
      <c r="D760" s="100"/>
      <c r="E760" s="100"/>
    </row>
    <row r="761" spans="1:5">
      <c r="A761" s="12" t="s">
        <v>2103</v>
      </c>
      <c r="B761" s="96" t="s">
        <v>2102</v>
      </c>
      <c r="C761" s="3" t="s">
        <v>2075</v>
      </c>
    </row>
    <row r="762" spans="1:5">
      <c r="A762" s="12" t="s">
        <v>2078</v>
      </c>
      <c r="B762" s="11" t="s">
        <v>2077</v>
      </c>
      <c r="C762" s="3" t="s">
        <v>2076</v>
      </c>
    </row>
    <row r="763" spans="1:5">
      <c r="A763" s="12" t="s">
        <v>2081</v>
      </c>
      <c r="B763" s="11" t="s">
        <v>2080</v>
      </c>
      <c r="C763" s="3" t="s">
        <v>2079</v>
      </c>
      <c r="E763" t="s">
        <v>2082</v>
      </c>
    </row>
    <row r="764" spans="1:5">
      <c r="A764" s="12" t="s">
        <v>2085</v>
      </c>
      <c r="B764" s="11" t="s">
        <v>2084</v>
      </c>
      <c r="C764" s="3" t="s">
        <v>2083</v>
      </c>
    </row>
    <row r="765" spans="1:5">
      <c r="A765" s="12" t="s">
        <v>2088</v>
      </c>
      <c r="B765" s="11" t="s">
        <v>2087</v>
      </c>
      <c r="C765" s="3" t="s">
        <v>2086</v>
      </c>
    </row>
    <row r="766" spans="1:5">
      <c r="A766" s="12" t="s">
        <v>676</v>
      </c>
      <c r="B766" s="11" t="s">
        <v>675</v>
      </c>
      <c r="C766" s="3" t="s">
        <v>674</v>
      </c>
    </row>
    <row r="767" spans="1:5">
      <c r="A767" s="12" t="s">
        <v>678</v>
      </c>
      <c r="B767" s="11" t="s">
        <v>677</v>
      </c>
      <c r="C767" s="3" t="s">
        <v>673</v>
      </c>
    </row>
    <row r="768" spans="1:5">
      <c r="A768" s="12" t="s">
        <v>2090</v>
      </c>
      <c r="B768" s="11" t="s">
        <v>2089</v>
      </c>
      <c r="C768" s="3" t="s">
        <v>1452</v>
      </c>
    </row>
    <row r="769" spans="1:5">
      <c r="A769" s="12" t="s">
        <v>2093</v>
      </c>
      <c r="B769" s="11" t="s">
        <v>2092</v>
      </c>
      <c r="C769" s="3" t="s">
        <v>2091</v>
      </c>
    </row>
    <row r="770" spans="1:5">
      <c r="A770" s="12" t="s">
        <v>2095</v>
      </c>
      <c r="B770" s="11" t="s">
        <v>2094</v>
      </c>
      <c r="C770" s="3" t="s">
        <v>850</v>
      </c>
    </row>
    <row r="771" spans="1:5">
      <c r="A771" s="12" t="s">
        <v>2098</v>
      </c>
      <c r="B771" s="11" t="s">
        <v>2097</v>
      </c>
      <c r="C771" s="3" t="s">
        <v>2096</v>
      </c>
    </row>
    <row r="772" spans="1:5">
      <c r="A772" s="12" t="s">
        <v>2101</v>
      </c>
      <c r="B772" s="11" t="s">
        <v>2100</v>
      </c>
      <c r="C772" s="3" t="s">
        <v>2099</v>
      </c>
    </row>
    <row r="773" spans="1:5" ht="21">
      <c r="A773" s="100">
        <v>42431</v>
      </c>
      <c r="B773" s="100"/>
      <c r="C773" s="100"/>
      <c r="D773" s="100"/>
      <c r="E773" s="100"/>
    </row>
    <row r="774" spans="1:5">
      <c r="A774" s="12" t="s">
        <v>2106</v>
      </c>
      <c r="B774" s="11" t="s">
        <v>2105</v>
      </c>
      <c r="C774" s="3" t="s">
        <v>2104</v>
      </c>
    </row>
    <row r="775" spans="1:5">
      <c r="A775" s="12" t="s">
        <v>2109</v>
      </c>
      <c r="B775" s="11" t="s">
        <v>2108</v>
      </c>
      <c r="C775" s="3" t="s">
        <v>2107</v>
      </c>
    </row>
    <row r="776" spans="1:5">
      <c r="A776" s="12" t="s">
        <v>2078</v>
      </c>
      <c r="B776" s="11" t="s">
        <v>2077</v>
      </c>
      <c r="C776" s="3" t="s">
        <v>2076</v>
      </c>
    </row>
    <row r="777" spans="1:5">
      <c r="A777" s="12" t="s">
        <v>2112</v>
      </c>
      <c r="B777" s="11" t="s">
        <v>2111</v>
      </c>
      <c r="C777" s="3" t="s">
        <v>2110</v>
      </c>
      <c r="D777" s="3" t="s">
        <v>2113</v>
      </c>
      <c r="E777" s="3" t="s">
        <v>2114</v>
      </c>
    </row>
    <row r="778" spans="1:5">
      <c r="A778" s="12" t="s">
        <v>1181</v>
      </c>
      <c r="B778" s="11" t="s">
        <v>1180</v>
      </c>
      <c r="C778" s="3" t="s">
        <v>1179</v>
      </c>
    </row>
    <row r="779" spans="1:5">
      <c r="A779" s="12" t="s">
        <v>2117</v>
      </c>
      <c r="B779" s="11" t="s">
        <v>2116</v>
      </c>
      <c r="C779" s="3" t="s">
        <v>2115</v>
      </c>
    </row>
    <row r="780" spans="1:5">
      <c r="A780" s="12" t="s">
        <v>1945</v>
      </c>
      <c r="B780" s="11" t="s">
        <v>1944</v>
      </c>
      <c r="C780" s="3" t="s">
        <v>1946</v>
      </c>
    </row>
    <row r="781" spans="1:5">
      <c r="A781" s="12" t="s">
        <v>908</v>
      </c>
      <c r="B781" s="11" t="s">
        <v>907</v>
      </c>
      <c r="C781" s="3" t="s">
        <v>906</v>
      </c>
    </row>
    <row r="782" spans="1:5">
      <c r="A782" s="12" t="s">
        <v>1069</v>
      </c>
      <c r="B782" s="11" t="s">
        <v>1068</v>
      </c>
      <c r="C782" s="3" t="s">
        <v>2118</v>
      </c>
    </row>
    <row r="783" spans="1:5">
      <c r="A783" s="12" t="s">
        <v>2121</v>
      </c>
      <c r="B783" s="11" t="s">
        <v>2120</v>
      </c>
      <c r="C783" s="3" t="s">
        <v>2119</v>
      </c>
    </row>
    <row r="784" spans="1:5">
      <c r="A784" s="12" t="s">
        <v>1039</v>
      </c>
      <c r="B784" s="11" t="s">
        <v>1038</v>
      </c>
      <c r="C784" s="3" t="s">
        <v>1037</v>
      </c>
    </row>
    <row r="785" spans="1:5">
      <c r="A785" s="12" t="s">
        <v>601</v>
      </c>
      <c r="B785" s="11" t="s">
        <v>600</v>
      </c>
      <c r="C785" s="3" t="s">
        <v>2122</v>
      </c>
    </row>
    <row r="786" spans="1:5">
      <c r="A786" s="12" t="s">
        <v>1619</v>
      </c>
      <c r="B786" s="11" t="s">
        <v>1618</v>
      </c>
      <c r="C786" s="3" t="s">
        <v>1617</v>
      </c>
      <c r="E786" s="3" t="s">
        <v>2123</v>
      </c>
    </row>
    <row r="787" spans="1:5">
      <c r="A787" s="12" t="s">
        <v>1982</v>
      </c>
      <c r="B787" s="11" t="s">
        <v>1981</v>
      </c>
      <c r="C787" s="3" t="s">
        <v>2124</v>
      </c>
      <c r="E787" s="3" t="s">
        <v>2125</v>
      </c>
    </row>
    <row r="788" spans="1:5" ht="21">
      <c r="A788" s="100">
        <v>42432</v>
      </c>
      <c r="B788" s="100"/>
      <c r="C788" s="100"/>
      <c r="D788" s="100"/>
      <c r="E788" s="100"/>
    </row>
    <row r="789" spans="1:5">
      <c r="A789" s="12" t="s">
        <v>2128</v>
      </c>
      <c r="B789" s="11" t="s">
        <v>2127</v>
      </c>
      <c r="C789" s="3" t="s">
        <v>2126</v>
      </c>
    </row>
    <row r="790" spans="1:5" s="7" customFormat="1">
      <c r="A790" s="85" t="s">
        <v>2112</v>
      </c>
      <c r="B790" s="86" t="s">
        <v>2111</v>
      </c>
      <c r="C790" s="87" t="s">
        <v>2110</v>
      </c>
      <c r="D790" s="87" t="s">
        <v>2129</v>
      </c>
      <c r="E790" s="87"/>
    </row>
    <row r="791" spans="1:5">
      <c r="A791" s="12" t="s">
        <v>2132</v>
      </c>
      <c r="B791" s="11" t="s">
        <v>2131</v>
      </c>
      <c r="C791" s="3" t="s">
        <v>2130</v>
      </c>
    </row>
    <row r="792" spans="1:5">
      <c r="A792" s="12" t="s">
        <v>1181</v>
      </c>
      <c r="B792" s="11" t="s">
        <v>1180</v>
      </c>
      <c r="C792" s="3" t="s">
        <v>1179</v>
      </c>
    </row>
    <row r="793" spans="1:5">
      <c r="A793" s="12" t="s">
        <v>2135</v>
      </c>
      <c r="B793" s="11" t="s">
        <v>2134</v>
      </c>
      <c r="C793" s="3" t="s">
        <v>2133</v>
      </c>
    </row>
    <row r="794" spans="1:5">
      <c r="A794" s="12" t="s">
        <v>987</v>
      </c>
      <c r="B794" s="11" t="s">
        <v>986</v>
      </c>
      <c r="C794" s="3" t="s">
        <v>985</v>
      </c>
    </row>
    <row r="795" spans="1:5">
      <c r="A795" s="12" t="s">
        <v>1794</v>
      </c>
      <c r="B795" s="11" t="s">
        <v>1793</v>
      </c>
      <c r="C795" s="3" t="s">
        <v>1795</v>
      </c>
    </row>
    <row r="796" spans="1:5">
      <c r="A796" s="12" t="s">
        <v>2137</v>
      </c>
      <c r="B796" s="11" t="s">
        <v>2136</v>
      </c>
      <c r="C796" s="3" t="s">
        <v>2138</v>
      </c>
    </row>
    <row r="797" spans="1:5">
      <c r="A797" s="12" t="s">
        <v>2140</v>
      </c>
      <c r="B797" s="11" t="s">
        <v>2139</v>
      </c>
      <c r="C797" s="3" t="s">
        <v>1152</v>
      </c>
    </row>
    <row r="798" spans="1:5">
      <c r="A798" s="12" t="s">
        <v>2029</v>
      </c>
      <c r="B798" s="11" t="s">
        <v>2028</v>
      </c>
      <c r="C798" s="3" t="s">
        <v>1872</v>
      </c>
    </row>
    <row r="799" spans="1:5">
      <c r="A799" s="12" t="s">
        <v>2143</v>
      </c>
      <c r="B799" s="11" t="s">
        <v>2142</v>
      </c>
      <c r="C799" s="3" t="s">
        <v>2141</v>
      </c>
    </row>
    <row r="800" spans="1:5" ht="21">
      <c r="A800" s="100">
        <v>42435</v>
      </c>
      <c r="B800" s="100"/>
      <c r="C800" s="100"/>
      <c r="D800" s="100"/>
      <c r="E800" s="100"/>
    </row>
    <row r="801" spans="1:5">
      <c r="A801" s="12" t="s">
        <v>2146</v>
      </c>
      <c r="B801" s="11" t="s">
        <v>2145</v>
      </c>
      <c r="C801" s="3" t="s">
        <v>2144</v>
      </c>
    </row>
    <row r="802" spans="1:5">
      <c r="A802" s="12" t="s">
        <v>2149</v>
      </c>
      <c r="B802" s="11" t="s">
        <v>2148</v>
      </c>
      <c r="C802" s="3" t="s">
        <v>2147</v>
      </c>
    </row>
    <row r="803" spans="1:5">
      <c r="A803" s="12" t="s">
        <v>2152</v>
      </c>
      <c r="B803" s="11" t="s">
        <v>2151</v>
      </c>
      <c r="C803" s="3" t="s">
        <v>2150</v>
      </c>
    </row>
    <row r="804" spans="1:5">
      <c r="A804" s="12" t="s">
        <v>2156</v>
      </c>
      <c r="B804" s="11" t="s">
        <v>2155</v>
      </c>
      <c r="C804" s="3" t="s">
        <v>2153</v>
      </c>
      <c r="E804" s="3" t="s">
        <v>2154</v>
      </c>
    </row>
    <row r="805" spans="1:5">
      <c r="A805" s="12" t="s">
        <v>2158</v>
      </c>
      <c r="B805" s="11" t="s">
        <v>2157</v>
      </c>
      <c r="C805" s="3" t="s">
        <v>2159</v>
      </c>
    </row>
    <row r="806" spans="1:5">
      <c r="A806" s="12" t="s">
        <v>2162</v>
      </c>
      <c r="B806" s="11" t="s">
        <v>2161</v>
      </c>
      <c r="C806" s="3" t="s">
        <v>2160</v>
      </c>
    </row>
    <row r="807" spans="1:5">
      <c r="A807" s="12" t="s">
        <v>2164</v>
      </c>
      <c r="B807" s="11" t="s">
        <v>2163</v>
      </c>
      <c r="C807" s="3" t="s">
        <v>1644</v>
      </c>
    </row>
    <row r="808" spans="1:5">
      <c r="A808" s="12" t="s">
        <v>2167</v>
      </c>
      <c r="B808" s="11" t="s">
        <v>2166</v>
      </c>
      <c r="C808" s="3" t="s">
        <v>2165</v>
      </c>
    </row>
    <row r="809" spans="1:5">
      <c r="A809" s="12" t="s">
        <v>2170</v>
      </c>
      <c r="B809" s="11" t="s">
        <v>2169</v>
      </c>
      <c r="C809" s="3" t="s">
        <v>2168</v>
      </c>
    </row>
    <row r="810" spans="1:5">
      <c r="A810" s="12" t="s">
        <v>1599</v>
      </c>
      <c r="B810" s="11" t="s">
        <v>1598</v>
      </c>
      <c r="C810" s="3" t="s">
        <v>1597</v>
      </c>
    </row>
    <row r="811" spans="1:5">
      <c r="A811" s="12" t="s">
        <v>2172</v>
      </c>
      <c r="B811" s="11" t="s">
        <v>2171</v>
      </c>
      <c r="C811" s="3" t="s">
        <v>1629</v>
      </c>
    </row>
    <row r="812" spans="1:5">
      <c r="A812" s="12" t="s">
        <v>1982</v>
      </c>
      <c r="B812" s="97" t="s">
        <v>1981</v>
      </c>
      <c r="C812" s="3" t="s">
        <v>2124</v>
      </c>
    </row>
    <row r="813" spans="1:5">
      <c r="A813" s="12" t="s">
        <v>666</v>
      </c>
      <c r="B813" s="11" t="s">
        <v>665</v>
      </c>
      <c r="C813" s="3" t="s">
        <v>664</v>
      </c>
    </row>
    <row r="814" spans="1:5" ht="21">
      <c r="A814" s="100">
        <v>42435</v>
      </c>
      <c r="B814" s="100"/>
      <c r="C814" s="100"/>
      <c r="D814" s="100"/>
      <c r="E814" s="100"/>
    </row>
    <row r="815" spans="1:5">
      <c r="A815" s="12" t="s">
        <v>2175</v>
      </c>
      <c r="B815" s="11" t="s">
        <v>2174</v>
      </c>
      <c r="C815" s="3" t="s">
        <v>2173</v>
      </c>
    </row>
    <row r="816" spans="1:5">
      <c r="A816" s="12" t="s">
        <v>2178</v>
      </c>
      <c r="B816" s="11" t="s">
        <v>2177</v>
      </c>
      <c r="C816" s="3" t="s">
        <v>2176</v>
      </c>
    </row>
    <row r="817" spans="1:5">
      <c r="A817" s="12" t="s">
        <v>2180</v>
      </c>
      <c r="B817" s="3" t="s">
        <v>2179</v>
      </c>
      <c r="C817" s="3" t="s">
        <v>2181</v>
      </c>
    </row>
    <row r="818" spans="1:5">
      <c r="A818" s="12" t="s">
        <v>2183</v>
      </c>
      <c r="B818" s="11" t="s">
        <v>2182</v>
      </c>
      <c r="C818" s="3" t="s">
        <v>1090</v>
      </c>
    </row>
    <row r="819" spans="1:5" ht="21">
      <c r="A819" s="100">
        <v>42436</v>
      </c>
      <c r="B819" s="100"/>
      <c r="C819" s="100"/>
      <c r="D819" s="100"/>
      <c r="E819" s="100"/>
    </row>
    <row r="820" spans="1:5">
      <c r="A820" s="12" t="s">
        <v>1701</v>
      </c>
      <c r="B820" s="11" t="s">
        <v>18</v>
      </c>
      <c r="C820" s="3" t="s">
        <v>352</v>
      </c>
      <c r="E820" s="3" t="s">
        <v>2184</v>
      </c>
    </row>
    <row r="821" spans="1:5">
      <c r="A821" s="12" t="s">
        <v>2186</v>
      </c>
      <c r="B821" s="11" t="s">
        <v>2185</v>
      </c>
      <c r="C821" s="3" t="s">
        <v>2026</v>
      </c>
    </row>
    <row r="822" spans="1:5">
      <c r="A822" s="12" t="s">
        <v>1780</v>
      </c>
      <c r="B822" s="11" t="s">
        <v>1779</v>
      </c>
      <c r="C822" s="3" t="s">
        <v>1827</v>
      </c>
    </row>
    <row r="823" spans="1:5">
      <c r="A823" s="12" t="s">
        <v>2057</v>
      </c>
      <c r="B823" s="11" t="s">
        <v>2056</v>
      </c>
      <c r="C823" s="3" t="s">
        <v>2055</v>
      </c>
    </row>
    <row r="824" spans="1:5">
      <c r="A824" s="12" t="s">
        <v>1367</v>
      </c>
      <c r="B824" s="11" t="s">
        <v>1366</v>
      </c>
      <c r="C824" s="3" t="s">
        <v>2187</v>
      </c>
    </row>
    <row r="825" spans="1:5">
      <c r="A825" s="12" t="s">
        <v>1756</v>
      </c>
      <c r="B825" s="11" t="s">
        <v>1755</v>
      </c>
      <c r="C825" s="3" t="s">
        <v>2188</v>
      </c>
    </row>
    <row r="826" spans="1:5">
      <c r="A826" s="12" t="s">
        <v>1007</v>
      </c>
      <c r="B826" s="11" t="s">
        <v>1006</v>
      </c>
      <c r="C826" s="3" t="s">
        <v>1005</v>
      </c>
    </row>
    <row r="827" spans="1:5">
      <c r="A827" s="12" t="s">
        <v>2191</v>
      </c>
      <c r="B827" s="11" t="s">
        <v>2190</v>
      </c>
      <c r="C827" s="3" t="s">
        <v>2189</v>
      </c>
    </row>
    <row r="828" spans="1:5">
      <c r="A828" s="12" t="s">
        <v>2194</v>
      </c>
      <c r="B828" s="11" t="s">
        <v>2193</v>
      </c>
      <c r="C828" s="3" t="s">
        <v>2192</v>
      </c>
    </row>
    <row r="829" spans="1:5">
      <c r="A829" s="12" t="s">
        <v>2196</v>
      </c>
      <c r="B829" s="11" t="s">
        <v>2195</v>
      </c>
      <c r="C829" s="3" t="s">
        <v>1986</v>
      </c>
    </row>
    <row r="830" spans="1:5">
      <c r="A830" s="12" t="s">
        <v>2200</v>
      </c>
      <c r="B830" s="11" t="s">
        <v>2199</v>
      </c>
      <c r="C830" s="3" t="s">
        <v>2197</v>
      </c>
      <c r="E830" s="3" t="s">
        <v>2198</v>
      </c>
    </row>
    <row r="831" spans="1:5">
      <c r="A831" s="12" t="s">
        <v>2203</v>
      </c>
      <c r="B831" s="11" t="s">
        <v>2202</v>
      </c>
      <c r="C831" s="3" t="s">
        <v>2201</v>
      </c>
    </row>
    <row r="832" spans="1:5">
      <c r="A832" s="12" t="s">
        <v>2205</v>
      </c>
      <c r="B832" s="11" t="s">
        <v>2204</v>
      </c>
      <c r="C832" s="3" t="s">
        <v>688</v>
      </c>
    </row>
    <row r="833" spans="1:5" ht="21">
      <c r="A833" s="100">
        <v>42437</v>
      </c>
      <c r="B833" s="100"/>
      <c r="C833" s="100"/>
      <c r="D833" s="100"/>
      <c r="E833" s="100"/>
    </row>
    <row r="834" spans="1:5">
      <c r="A834" s="12" t="s">
        <v>2208</v>
      </c>
      <c r="B834" s="11" t="s">
        <v>2207</v>
      </c>
      <c r="C834" s="3" t="s">
        <v>2206</v>
      </c>
    </row>
    <row r="835" spans="1:5">
      <c r="A835" s="12" t="s">
        <v>2211</v>
      </c>
      <c r="B835" s="11" t="s">
        <v>2210</v>
      </c>
      <c r="C835" s="3" t="s">
        <v>2209</v>
      </c>
    </row>
    <row r="836" spans="1:5">
      <c r="A836" s="12" t="s">
        <v>2215</v>
      </c>
      <c r="B836" s="11" t="s">
        <v>2214</v>
      </c>
      <c r="C836" s="3" t="s">
        <v>2212</v>
      </c>
      <c r="E836" s="3" t="s">
        <v>2213</v>
      </c>
    </row>
    <row r="837" spans="1:5">
      <c r="A837" s="12" t="s">
        <v>2000</v>
      </c>
      <c r="B837" s="11" t="s">
        <v>1999</v>
      </c>
      <c r="C837" s="3" t="s">
        <v>1998</v>
      </c>
    </row>
    <row r="838" spans="1:5">
      <c r="A838" s="12" t="s">
        <v>2218</v>
      </c>
      <c r="B838" s="11" t="s">
        <v>2217</v>
      </c>
      <c r="C838" s="3" t="s">
        <v>2216</v>
      </c>
    </row>
    <row r="839" spans="1:5">
      <c r="A839" s="12" t="s">
        <v>1822</v>
      </c>
      <c r="B839" s="11" t="s">
        <v>1821</v>
      </c>
      <c r="C839" s="3" t="s">
        <v>2219</v>
      </c>
    </row>
    <row r="840" spans="1:5">
      <c r="A840" s="12" t="s">
        <v>1921</v>
      </c>
      <c r="B840" s="11" t="s">
        <v>1920</v>
      </c>
      <c r="C840" s="3" t="s">
        <v>1922</v>
      </c>
    </row>
    <row r="841" spans="1:5">
      <c r="A841" s="12" t="s">
        <v>1902</v>
      </c>
      <c r="B841" s="11" t="s">
        <v>1901</v>
      </c>
      <c r="C841" s="3" t="s">
        <v>1900</v>
      </c>
      <c r="E841" s="3" t="s">
        <v>2220</v>
      </c>
    </row>
    <row r="842" spans="1:5">
      <c r="A842" s="12" t="s">
        <v>1480</v>
      </c>
      <c r="B842" s="11" t="s">
        <v>2223</v>
      </c>
      <c r="C842" s="3" t="s">
        <v>2221</v>
      </c>
      <c r="D842" s="3" t="s">
        <v>2222</v>
      </c>
    </row>
    <row r="843" spans="1:5">
      <c r="A843" s="12" t="s">
        <v>2196</v>
      </c>
      <c r="B843" s="11" t="s">
        <v>2195</v>
      </c>
      <c r="C843" s="3" t="s">
        <v>1193</v>
      </c>
    </row>
    <row r="844" spans="1:5">
      <c r="A844" s="12" t="s">
        <v>2143</v>
      </c>
      <c r="B844" s="11" t="s">
        <v>2142</v>
      </c>
      <c r="C844" s="3" t="s">
        <v>2141</v>
      </c>
    </row>
    <row r="845" spans="1:5" ht="21">
      <c r="A845" s="100">
        <v>42438</v>
      </c>
      <c r="B845" s="100"/>
      <c r="C845" s="100"/>
      <c r="D845" s="100"/>
      <c r="E845" s="100"/>
    </row>
    <row r="846" spans="1:5">
      <c r="A846" s="12" t="s">
        <v>2226</v>
      </c>
      <c r="B846" s="11" t="s">
        <v>2225</v>
      </c>
      <c r="C846" s="3" t="s">
        <v>2224</v>
      </c>
    </row>
    <row r="847" spans="1:5">
      <c r="A847" s="12" t="s">
        <v>2229</v>
      </c>
      <c r="B847" s="11" t="s">
        <v>2228</v>
      </c>
      <c r="C847" s="3" t="s">
        <v>2227</v>
      </c>
    </row>
    <row r="848" spans="1:5">
      <c r="A848" s="12" t="s">
        <v>2232</v>
      </c>
      <c r="B848" s="11" t="s">
        <v>2231</v>
      </c>
      <c r="C848" s="3" t="s">
        <v>2230</v>
      </c>
    </row>
    <row r="849" spans="1:5">
      <c r="A849" s="12" t="s">
        <v>1195</v>
      </c>
      <c r="B849" s="11" t="s">
        <v>2233</v>
      </c>
      <c r="C849" s="3" t="s">
        <v>474</v>
      </c>
    </row>
    <row r="850" spans="1:5">
      <c r="A850" s="12" t="s">
        <v>2235</v>
      </c>
      <c r="B850" s="11" t="s">
        <v>2234</v>
      </c>
      <c r="C850" s="3" t="s">
        <v>2216</v>
      </c>
    </row>
    <row r="851" spans="1:5">
      <c r="A851" s="12" t="s">
        <v>2016</v>
      </c>
      <c r="B851" s="11" t="s">
        <v>2015</v>
      </c>
      <c r="C851" s="3" t="s">
        <v>1986</v>
      </c>
    </row>
    <row r="852" spans="1:5">
      <c r="A852" s="12" t="s">
        <v>2238</v>
      </c>
      <c r="B852" s="11" t="s">
        <v>2237</v>
      </c>
      <c r="C852" s="3" t="s">
        <v>2236</v>
      </c>
    </row>
    <row r="853" spans="1:5">
      <c r="A853" s="12" t="s">
        <v>2241</v>
      </c>
      <c r="B853" s="11" t="s">
        <v>2240</v>
      </c>
      <c r="C853" s="3" t="s">
        <v>2239</v>
      </c>
    </row>
    <row r="854" spans="1:5">
      <c r="A854" s="12" t="s">
        <v>2243</v>
      </c>
      <c r="B854" s="11" t="s">
        <v>2242</v>
      </c>
      <c r="C854" s="3" t="s">
        <v>474</v>
      </c>
    </row>
    <row r="855" spans="1:5">
      <c r="A855" s="12" t="s">
        <v>2245</v>
      </c>
      <c r="B855" s="11" t="s">
        <v>2244</v>
      </c>
      <c r="C855" s="3" t="s">
        <v>1696</v>
      </c>
    </row>
    <row r="856" spans="1:5">
      <c r="A856" s="12" t="s">
        <v>2248</v>
      </c>
      <c r="B856" s="11" t="s">
        <v>2247</v>
      </c>
      <c r="C856" s="3" t="s">
        <v>2246</v>
      </c>
    </row>
    <row r="857" spans="1:5">
      <c r="A857" s="12" t="s">
        <v>2251</v>
      </c>
      <c r="B857" s="11" t="s">
        <v>2250</v>
      </c>
      <c r="C857" s="3" t="s">
        <v>2249</v>
      </c>
    </row>
    <row r="858" spans="1:5">
      <c r="A858" s="12" t="s">
        <v>2253</v>
      </c>
      <c r="B858" s="11" t="s">
        <v>2252</v>
      </c>
      <c r="C858" s="3" t="s">
        <v>1418</v>
      </c>
      <c r="E858" s="3" t="s">
        <v>2254</v>
      </c>
    </row>
    <row r="859" spans="1:5" ht="21">
      <c r="A859" s="100">
        <v>42439</v>
      </c>
      <c r="B859" s="100"/>
      <c r="C859" s="100"/>
      <c r="D859" s="100"/>
      <c r="E859" s="100"/>
    </row>
    <row r="860" spans="1:5">
      <c r="A860" s="12" t="s">
        <v>1721</v>
      </c>
      <c r="B860" s="11" t="s">
        <v>2255</v>
      </c>
      <c r="C860" s="3" t="s">
        <v>1719</v>
      </c>
    </row>
    <row r="861" spans="1:5">
      <c r="A861" s="12" t="s">
        <v>601</v>
      </c>
      <c r="B861" s="11" t="s">
        <v>600</v>
      </c>
      <c r="C861" s="3" t="s">
        <v>599</v>
      </c>
    </row>
    <row r="862" spans="1:5">
      <c r="A862" s="12" t="s">
        <v>2112</v>
      </c>
      <c r="B862" s="11" t="s">
        <v>2111</v>
      </c>
      <c r="C862" s="3" t="s">
        <v>2110</v>
      </c>
      <c r="D862" s="3" t="s">
        <v>2129</v>
      </c>
      <c r="E862" s="3" t="s">
        <v>2256</v>
      </c>
    </row>
    <row r="863" spans="1:5">
      <c r="A863" s="12" t="s">
        <v>1908</v>
      </c>
      <c r="B863" s="11" t="s">
        <v>1907</v>
      </c>
      <c r="C863" s="3" t="s">
        <v>1906</v>
      </c>
    </row>
    <row r="864" spans="1:5">
      <c r="A864" s="12" t="s">
        <v>2259</v>
      </c>
      <c r="B864" s="11" t="s">
        <v>2258</v>
      </c>
      <c r="C864" s="3" t="s">
        <v>2257</v>
      </c>
    </row>
    <row r="865" spans="1:5">
      <c r="A865" s="12" t="s">
        <v>473</v>
      </c>
      <c r="B865" s="11" t="s">
        <v>1648</v>
      </c>
      <c r="C865" s="3" t="s">
        <v>471</v>
      </c>
    </row>
    <row r="866" spans="1:5">
      <c r="A866" s="12" t="s">
        <v>2262</v>
      </c>
      <c r="B866" s="11" t="s">
        <v>2261</v>
      </c>
      <c r="C866" s="3" t="s">
        <v>2260</v>
      </c>
    </row>
    <row r="867" spans="1:5">
      <c r="A867" s="12" t="s">
        <v>2203</v>
      </c>
      <c r="B867" s="11" t="s">
        <v>2202</v>
      </c>
      <c r="C867" s="3" t="s">
        <v>2201</v>
      </c>
    </row>
    <row r="868" spans="1:5">
      <c r="A868" s="12" t="s">
        <v>693</v>
      </c>
      <c r="B868" s="11" t="s">
        <v>692</v>
      </c>
      <c r="C868" s="3" t="s">
        <v>2067</v>
      </c>
    </row>
    <row r="869" spans="1:5">
      <c r="A869" s="12" t="s">
        <v>1451</v>
      </c>
      <c r="B869" s="11" t="s">
        <v>2263</v>
      </c>
      <c r="C869" s="3" t="s">
        <v>1449</v>
      </c>
    </row>
    <row r="870" spans="1:5">
      <c r="A870" s="12" t="s">
        <v>2172</v>
      </c>
      <c r="B870" s="11" t="s">
        <v>2171</v>
      </c>
      <c r="C870" s="3" t="s">
        <v>2264</v>
      </c>
    </row>
    <row r="871" spans="1:5">
      <c r="A871" s="12" t="s">
        <v>2172</v>
      </c>
      <c r="B871" s="11" t="s">
        <v>2171</v>
      </c>
      <c r="C871" s="3" t="s">
        <v>2265</v>
      </c>
    </row>
    <row r="872" spans="1:5">
      <c r="A872" s="12" t="s">
        <v>2268</v>
      </c>
      <c r="B872" s="11" t="s">
        <v>2267</v>
      </c>
      <c r="C872" s="3" t="s">
        <v>2266</v>
      </c>
    </row>
    <row r="873" spans="1:5">
      <c r="A873" s="12" t="s">
        <v>2269</v>
      </c>
      <c r="B873" s="11" t="s">
        <v>796</v>
      </c>
      <c r="C873" s="3" t="s">
        <v>1911</v>
      </c>
    </row>
    <row r="874" spans="1:5">
      <c r="A874" s="12" t="s">
        <v>2272</v>
      </c>
      <c r="B874" s="11" t="s">
        <v>2271</v>
      </c>
      <c r="C874" s="3" t="s">
        <v>2270</v>
      </c>
    </row>
    <row r="875" spans="1:5" ht="21">
      <c r="A875" s="100">
        <v>42442</v>
      </c>
      <c r="B875" s="100"/>
      <c r="C875" s="100"/>
      <c r="D875" s="100"/>
      <c r="E875" s="100"/>
    </row>
    <row r="876" spans="1:5">
      <c r="A876" s="12" t="s">
        <v>1949</v>
      </c>
      <c r="B876" s="11" t="s">
        <v>2276</v>
      </c>
      <c r="C876" s="3" t="s">
        <v>2273</v>
      </c>
      <c r="D876" s="3" t="s">
        <v>2274</v>
      </c>
      <c r="E876" s="3" t="s">
        <v>2275</v>
      </c>
    </row>
    <row r="877" spans="1:5">
      <c r="A877" s="12" t="s">
        <v>2278</v>
      </c>
      <c r="B877" s="11" t="s">
        <v>2277</v>
      </c>
      <c r="C877" s="3" t="s">
        <v>354</v>
      </c>
    </row>
    <row r="878" spans="1:5">
      <c r="A878" s="12" t="s">
        <v>2281</v>
      </c>
      <c r="B878" s="11" t="s">
        <v>2280</v>
      </c>
      <c r="C878" s="3" t="s">
        <v>2279</v>
      </c>
      <c r="E878" s="3" t="s">
        <v>2282</v>
      </c>
    </row>
    <row r="879" spans="1:5">
      <c r="A879" s="12" t="s">
        <v>1056</v>
      </c>
      <c r="B879" s="11" t="s">
        <v>1055</v>
      </c>
      <c r="C879" s="3" t="s">
        <v>1054</v>
      </c>
    </row>
    <row r="880" spans="1:5" ht="21">
      <c r="A880" s="100">
        <v>42443</v>
      </c>
      <c r="B880" s="100"/>
      <c r="C880" s="100"/>
      <c r="D880" s="100"/>
      <c r="E880" s="100"/>
    </row>
    <row r="881" spans="1:5">
      <c r="A881" s="12" t="s">
        <v>2284</v>
      </c>
      <c r="B881" s="11" t="s">
        <v>2283</v>
      </c>
      <c r="C881" s="3" t="s">
        <v>1111</v>
      </c>
      <c r="E881" s="3" t="s">
        <v>2285</v>
      </c>
    </row>
    <row r="882" spans="1:5">
      <c r="A882" s="12" t="s">
        <v>2288</v>
      </c>
      <c r="B882" s="11" t="s">
        <v>2287</v>
      </c>
      <c r="C882" s="3" t="s">
        <v>2286</v>
      </c>
    </row>
    <row r="883" spans="1:5">
      <c r="A883" s="12" t="s">
        <v>1298</v>
      </c>
      <c r="B883" s="11" t="s">
        <v>2289</v>
      </c>
      <c r="C883" s="3" t="s">
        <v>1296</v>
      </c>
    </row>
    <row r="884" spans="1:5">
      <c r="A884" s="12" t="s">
        <v>441</v>
      </c>
      <c r="B884" s="11" t="s">
        <v>440</v>
      </c>
      <c r="C884" s="3" t="s">
        <v>2290</v>
      </c>
    </row>
    <row r="885" spans="1:5">
      <c r="A885" s="12" t="s">
        <v>2292</v>
      </c>
      <c r="B885" s="11" t="s">
        <v>2291</v>
      </c>
      <c r="C885" s="3" t="s">
        <v>2293</v>
      </c>
    </row>
    <row r="886" spans="1:5">
      <c r="A886" s="12" t="s">
        <v>630</v>
      </c>
      <c r="B886" s="11" t="s">
        <v>629</v>
      </c>
      <c r="C886" s="3" t="s">
        <v>1823</v>
      </c>
    </row>
    <row r="887" spans="1:5">
      <c r="A887" s="12" t="s">
        <v>2296</v>
      </c>
      <c r="B887" s="11" t="s">
        <v>2295</v>
      </c>
      <c r="C887" s="3" t="s">
        <v>2294</v>
      </c>
      <c r="E887" s="3" t="s">
        <v>2297</v>
      </c>
    </row>
    <row r="888" spans="1:5">
      <c r="A888" s="12" t="s">
        <v>2299</v>
      </c>
      <c r="B888" s="11" t="s">
        <v>2298</v>
      </c>
      <c r="C888" s="3" t="s">
        <v>2300</v>
      </c>
    </row>
    <row r="889" spans="1:5">
      <c r="A889" s="12" t="s">
        <v>497</v>
      </c>
      <c r="B889" s="11" t="s">
        <v>2302</v>
      </c>
      <c r="C889" s="3" t="s">
        <v>999</v>
      </c>
    </row>
    <row r="890" spans="1:5">
      <c r="A890" s="12" t="s">
        <v>497</v>
      </c>
      <c r="B890" s="11" t="s">
        <v>2302</v>
      </c>
      <c r="C890" s="3" t="s">
        <v>2301</v>
      </c>
    </row>
    <row r="891" spans="1:5">
      <c r="A891" s="12" t="s">
        <v>2152</v>
      </c>
      <c r="B891" s="11" t="s">
        <v>2151</v>
      </c>
      <c r="C891" s="3" t="s">
        <v>2303</v>
      </c>
    </row>
    <row r="892" spans="1:5">
      <c r="A892" s="12" t="s">
        <v>2306</v>
      </c>
      <c r="B892" s="11" t="s">
        <v>2305</v>
      </c>
      <c r="C892" s="3" t="s">
        <v>2304</v>
      </c>
    </row>
    <row r="893" spans="1:5">
      <c r="A893" s="12" t="s">
        <v>2308</v>
      </c>
      <c r="B893" s="11" t="s">
        <v>2307</v>
      </c>
      <c r="C893" s="3" t="s">
        <v>2150</v>
      </c>
    </row>
    <row r="894" spans="1:5">
      <c r="A894" s="12" t="s">
        <v>866</v>
      </c>
      <c r="B894" s="11" t="s">
        <v>865</v>
      </c>
      <c r="C894" s="3" t="s">
        <v>864</v>
      </c>
    </row>
    <row r="895" spans="1:5">
      <c r="A895" s="12" t="s">
        <v>2311</v>
      </c>
      <c r="B895" s="11" t="s">
        <v>2310</v>
      </c>
      <c r="C895" s="3" t="s">
        <v>2309</v>
      </c>
    </row>
    <row r="896" spans="1:5">
      <c r="A896" s="12" t="s">
        <v>2314</v>
      </c>
      <c r="B896" s="11" t="s">
        <v>2313</v>
      </c>
      <c r="C896" s="3" t="s">
        <v>2312</v>
      </c>
    </row>
    <row r="897" spans="1:5">
      <c r="A897" s="12" t="s">
        <v>2317</v>
      </c>
      <c r="B897" s="11" t="s">
        <v>2316</v>
      </c>
      <c r="C897" s="3" t="s">
        <v>2315</v>
      </c>
    </row>
    <row r="898" spans="1:5">
      <c r="A898" s="12" t="s">
        <v>1518</v>
      </c>
      <c r="B898" s="11" t="s">
        <v>1517</v>
      </c>
      <c r="C898" s="3" t="s">
        <v>1516</v>
      </c>
    </row>
    <row r="899" spans="1:5">
      <c r="A899" s="12" t="s">
        <v>1283</v>
      </c>
      <c r="B899" s="11" t="s">
        <v>1282</v>
      </c>
      <c r="C899" s="3" t="s">
        <v>1281</v>
      </c>
    </row>
    <row r="900" spans="1:5">
      <c r="A900" s="12" t="s">
        <v>2320</v>
      </c>
      <c r="B900" s="11" t="s">
        <v>2319</v>
      </c>
      <c r="C900" s="3" t="s">
        <v>2318</v>
      </c>
    </row>
    <row r="901" spans="1:5">
      <c r="A901" s="12" t="s">
        <v>2323</v>
      </c>
      <c r="B901" s="11" t="s">
        <v>2322</v>
      </c>
      <c r="C901" s="3" t="s">
        <v>2321</v>
      </c>
    </row>
    <row r="902" spans="1:5">
      <c r="A902" s="12" t="s">
        <v>1593</v>
      </c>
      <c r="B902" s="11" t="s">
        <v>1592</v>
      </c>
      <c r="C902" s="3" t="s">
        <v>2324</v>
      </c>
    </row>
    <row r="903" spans="1:5" ht="21">
      <c r="A903" s="100">
        <v>42444</v>
      </c>
      <c r="B903" s="100"/>
      <c r="C903" s="100"/>
      <c r="D903" s="100"/>
      <c r="E903" s="100"/>
    </row>
    <row r="904" spans="1:5">
      <c r="A904" s="12" t="s">
        <v>491</v>
      </c>
      <c r="B904" s="11" t="s">
        <v>490</v>
      </c>
      <c r="C904" s="3" t="s">
        <v>489</v>
      </c>
    </row>
    <row r="905" spans="1:5">
      <c r="A905" s="12" t="s">
        <v>1593</v>
      </c>
      <c r="B905" s="11" t="s">
        <v>1592</v>
      </c>
      <c r="C905" s="3" t="s">
        <v>2326</v>
      </c>
    </row>
    <row r="906" spans="1:5">
      <c r="A906" s="12" t="s">
        <v>1871</v>
      </c>
      <c r="B906" s="11" t="s">
        <v>1870</v>
      </c>
      <c r="C906" s="3" t="s">
        <v>1869</v>
      </c>
    </row>
    <row r="907" spans="1:5">
      <c r="A907" s="12" t="s">
        <v>2329</v>
      </c>
      <c r="B907" s="11" t="s">
        <v>2328</v>
      </c>
      <c r="C907" s="3" t="s">
        <v>2327</v>
      </c>
    </row>
    <row r="908" spans="1:5">
      <c r="A908" s="12" t="s">
        <v>609</v>
      </c>
      <c r="B908" s="11" t="s">
        <v>608</v>
      </c>
      <c r="C908" s="3" t="s">
        <v>607</v>
      </c>
    </row>
    <row r="909" spans="1:5">
      <c r="A909" s="12" t="s">
        <v>2332</v>
      </c>
      <c r="B909" s="11" t="s">
        <v>2331</v>
      </c>
      <c r="C909" s="3" t="s">
        <v>2330</v>
      </c>
    </row>
    <row r="910" spans="1:5">
      <c r="A910" s="12" t="s">
        <v>2335</v>
      </c>
      <c r="B910" s="11" t="s">
        <v>2334</v>
      </c>
      <c r="C910" s="3" t="s">
        <v>2333</v>
      </c>
    </row>
    <row r="911" spans="1:5">
      <c r="A911" s="12" t="s">
        <v>2338</v>
      </c>
      <c r="B911" s="11" t="s">
        <v>2337</v>
      </c>
      <c r="C911" s="3" t="s">
        <v>2336</v>
      </c>
    </row>
    <row r="912" spans="1:5">
      <c r="A912" s="12" t="s">
        <v>2341</v>
      </c>
      <c r="B912" s="11" t="s">
        <v>2340</v>
      </c>
      <c r="C912" s="3" t="s">
        <v>2339</v>
      </c>
    </row>
    <row r="913" spans="1:5" ht="21">
      <c r="A913" s="100">
        <v>42445</v>
      </c>
      <c r="B913" s="100"/>
      <c r="C913" s="100"/>
      <c r="D913" s="100"/>
      <c r="E913" s="100"/>
    </row>
    <row r="914" spans="1:5">
      <c r="A914" s="12" t="s">
        <v>2344</v>
      </c>
      <c r="B914" s="11" t="s">
        <v>2343</v>
      </c>
      <c r="C914" s="3" t="s">
        <v>2342</v>
      </c>
    </row>
    <row r="915" spans="1:5">
      <c r="A915" s="12" t="s">
        <v>2347</v>
      </c>
      <c r="B915" s="11" t="s">
        <v>2346</v>
      </c>
      <c r="C915" s="3" t="s">
        <v>2345</v>
      </c>
    </row>
    <row r="916" spans="1:5">
      <c r="A916" s="12" t="s">
        <v>2350</v>
      </c>
      <c r="B916" s="11" t="s">
        <v>2349</v>
      </c>
      <c r="C916" s="3" t="s">
        <v>2348</v>
      </c>
    </row>
    <row r="917" spans="1:5">
      <c r="A917" s="12" t="s">
        <v>2350</v>
      </c>
      <c r="B917" s="11" t="s">
        <v>2349</v>
      </c>
      <c r="C917" s="3" t="s">
        <v>2351</v>
      </c>
    </row>
    <row r="918" spans="1:5">
      <c r="A918" s="12" t="s">
        <v>2354</v>
      </c>
      <c r="B918" s="11" t="s">
        <v>2353</v>
      </c>
      <c r="C918" s="3" t="s">
        <v>2352</v>
      </c>
    </row>
    <row r="919" spans="1:5">
      <c r="A919" s="12" t="s">
        <v>389</v>
      </c>
      <c r="B919" s="11" t="s">
        <v>388</v>
      </c>
      <c r="C919" s="3" t="s">
        <v>387</v>
      </c>
    </row>
    <row r="920" spans="1:5">
      <c r="A920" s="12" t="s">
        <v>2357</v>
      </c>
      <c r="B920" s="11" t="s">
        <v>2356</v>
      </c>
      <c r="C920" s="3" t="s">
        <v>2355</v>
      </c>
    </row>
    <row r="921" spans="1:5">
      <c r="A921" s="12" t="s">
        <v>937</v>
      </c>
      <c r="B921" s="11" t="s">
        <v>936</v>
      </c>
      <c r="C921" s="3" t="s">
        <v>2358</v>
      </c>
    </row>
    <row r="922" spans="1:5">
      <c r="A922" s="12" t="s">
        <v>2361</v>
      </c>
      <c r="B922" s="11" t="s">
        <v>2360</v>
      </c>
      <c r="C922" s="3" t="s">
        <v>2359</v>
      </c>
    </row>
    <row r="923" spans="1:5">
      <c r="A923" s="12" t="s">
        <v>702</v>
      </c>
      <c r="B923" s="11" t="s">
        <v>701</v>
      </c>
      <c r="C923" s="3" t="s">
        <v>700</v>
      </c>
    </row>
    <row r="924" spans="1:5">
      <c r="A924" s="12" t="s">
        <v>1699</v>
      </c>
      <c r="B924" s="11" t="s">
        <v>1698</v>
      </c>
      <c r="C924" s="3" t="s">
        <v>2362</v>
      </c>
    </row>
    <row r="925" spans="1:5">
      <c r="A925" s="12" t="s">
        <v>1483</v>
      </c>
      <c r="B925" s="11" t="s">
        <v>1482</v>
      </c>
      <c r="C925" s="3" t="s">
        <v>1481</v>
      </c>
    </row>
    <row r="926" spans="1:5">
      <c r="A926" s="12" t="s">
        <v>2365</v>
      </c>
      <c r="B926" s="11" t="s">
        <v>2364</v>
      </c>
      <c r="C926" s="3" t="s">
        <v>2363</v>
      </c>
    </row>
    <row r="927" spans="1:5" ht="21">
      <c r="A927" s="100">
        <v>42446</v>
      </c>
      <c r="B927" s="100"/>
      <c r="C927" s="100"/>
      <c r="D927" s="100"/>
      <c r="E927" s="100"/>
    </row>
    <row r="928" spans="1:5">
      <c r="A928" s="12" t="s">
        <v>1166</v>
      </c>
      <c r="B928" s="11" t="s">
        <v>1165</v>
      </c>
      <c r="C928" s="3" t="s">
        <v>1529</v>
      </c>
    </row>
    <row r="929" spans="1:5">
      <c r="A929" s="12" t="s">
        <v>2370</v>
      </c>
      <c r="B929" s="11" t="s">
        <v>2369</v>
      </c>
      <c r="C929" s="3" t="s">
        <v>2367</v>
      </c>
      <c r="E929" s="3" t="s">
        <v>2368</v>
      </c>
    </row>
    <row r="930" spans="1:5">
      <c r="A930" s="12" t="s">
        <v>2149</v>
      </c>
      <c r="B930" s="11" t="s">
        <v>2148</v>
      </c>
      <c r="C930" s="3" t="s">
        <v>2371</v>
      </c>
    </row>
    <row r="931" spans="1:5">
      <c r="A931" s="12" t="s">
        <v>1756</v>
      </c>
      <c r="B931" s="11" t="s">
        <v>1755</v>
      </c>
      <c r="C931" s="3" t="s">
        <v>2366</v>
      </c>
    </row>
    <row r="932" spans="1:5">
      <c r="A932" s="12" t="s">
        <v>2373</v>
      </c>
      <c r="B932" s="11" t="s">
        <v>2372</v>
      </c>
      <c r="C932" s="3" t="s">
        <v>2371</v>
      </c>
    </row>
    <row r="933" spans="1:5">
      <c r="A933" s="12" t="s">
        <v>2376</v>
      </c>
      <c r="B933" s="11" t="s">
        <v>2375</v>
      </c>
      <c r="C933" s="3" t="s">
        <v>2374</v>
      </c>
    </row>
    <row r="934" spans="1:5">
      <c r="A934" s="12" t="s">
        <v>2379</v>
      </c>
      <c r="B934" s="11" t="s">
        <v>2378</v>
      </c>
      <c r="C934" s="3" t="s">
        <v>2377</v>
      </c>
    </row>
    <row r="935" spans="1:5">
      <c r="A935" s="12" t="s">
        <v>2381</v>
      </c>
      <c r="B935" s="11" t="s">
        <v>2380</v>
      </c>
      <c r="C935" s="3" t="s">
        <v>399</v>
      </c>
    </row>
    <row r="936" spans="1:5">
      <c r="A936" s="12" t="s">
        <v>2384</v>
      </c>
      <c r="B936" s="11" t="s">
        <v>2383</v>
      </c>
      <c r="C936" s="3" t="s">
        <v>2382</v>
      </c>
    </row>
    <row r="937" spans="1:5">
      <c r="A937" s="12" t="s">
        <v>2387</v>
      </c>
      <c r="B937" s="11" t="s">
        <v>2386</v>
      </c>
      <c r="C937" s="3" t="s">
        <v>2385</v>
      </c>
    </row>
    <row r="938" spans="1:5">
      <c r="A938" s="12" t="s">
        <v>2390</v>
      </c>
      <c r="B938" s="11" t="s">
        <v>2389</v>
      </c>
      <c r="C938" s="3" t="s">
        <v>2388</v>
      </c>
    </row>
    <row r="939" spans="1:5" ht="21">
      <c r="A939" s="100">
        <v>42449</v>
      </c>
      <c r="B939" s="100"/>
      <c r="C939" s="100"/>
      <c r="D939" s="100"/>
      <c r="E939" s="100"/>
    </row>
    <row r="940" spans="1:5">
      <c r="A940" s="12" t="s">
        <v>1740</v>
      </c>
      <c r="B940" s="11" t="s">
        <v>1739</v>
      </c>
      <c r="C940" s="3" t="s">
        <v>2391</v>
      </c>
    </row>
    <row r="941" spans="1:5">
      <c r="A941" s="12" t="s">
        <v>2175</v>
      </c>
      <c r="B941" s="11" t="s">
        <v>2174</v>
      </c>
      <c r="C941" s="3" t="s">
        <v>2173</v>
      </c>
    </row>
    <row r="942" spans="1:5">
      <c r="A942" s="12" t="s">
        <v>2394</v>
      </c>
      <c r="B942" s="11" t="s">
        <v>2393</v>
      </c>
      <c r="C942" s="3" t="s">
        <v>2392</v>
      </c>
    </row>
    <row r="943" spans="1:5">
      <c r="A943" s="12" t="s">
        <v>2397</v>
      </c>
      <c r="B943" s="11" t="s">
        <v>2396</v>
      </c>
      <c r="C943" s="3" t="s">
        <v>2395</v>
      </c>
    </row>
    <row r="944" spans="1:5">
      <c r="A944" s="12" t="s">
        <v>2397</v>
      </c>
      <c r="B944" s="11" t="s">
        <v>2396</v>
      </c>
      <c r="C944" s="3" t="s">
        <v>2395</v>
      </c>
    </row>
    <row r="945" spans="1:5">
      <c r="A945" s="12" t="s">
        <v>1460</v>
      </c>
      <c r="B945" s="11" t="s">
        <v>1459</v>
      </c>
      <c r="C945" s="3" t="s">
        <v>1174</v>
      </c>
    </row>
    <row r="946" spans="1:5">
      <c r="A946" s="12" t="s">
        <v>2399</v>
      </c>
      <c r="B946" s="11" t="s">
        <v>2398</v>
      </c>
      <c r="C946" s="3" t="s">
        <v>1090</v>
      </c>
    </row>
    <row r="947" spans="1:5">
      <c r="A947" s="12" t="s">
        <v>2401</v>
      </c>
      <c r="B947" s="11" t="s">
        <v>2400</v>
      </c>
      <c r="C947" s="3" t="s">
        <v>506</v>
      </c>
    </row>
    <row r="948" spans="1:5" ht="21">
      <c r="A948" s="100">
        <v>42450</v>
      </c>
      <c r="B948" s="100"/>
      <c r="C948" s="100"/>
      <c r="D948" s="100"/>
      <c r="E948" s="100"/>
    </row>
    <row r="949" spans="1:5">
      <c r="A949" s="12" t="s">
        <v>646</v>
      </c>
      <c r="B949" s="11" t="s">
        <v>645</v>
      </c>
      <c r="C949" s="3" t="s">
        <v>1199</v>
      </c>
    </row>
    <row r="950" spans="1:5">
      <c r="A950" s="12" t="s">
        <v>699</v>
      </c>
      <c r="B950" s="11" t="s">
        <v>698</v>
      </c>
      <c r="C950" s="3" t="s">
        <v>720</v>
      </c>
    </row>
    <row r="951" spans="1:5">
      <c r="A951" s="12" t="s">
        <v>2404</v>
      </c>
      <c r="B951" s="11" t="s">
        <v>2403</v>
      </c>
      <c r="C951" s="3" t="s">
        <v>2402</v>
      </c>
    </row>
    <row r="952" spans="1:5">
      <c r="A952" s="12" t="s">
        <v>1748</v>
      </c>
      <c r="B952" s="11" t="s">
        <v>1747</v>
      </c>
      <c r="C952" s="3" t="s">
        <v>1746</v>
      </c>
    </row>
    <row r="953" spans="1:5">
      <c r="A953" s="12" t="s">
        <v>2406</v>
      </c>
      <c r="B953" s="11" t="s">
        <v>2405</v>
      </c>
      <c r="C953" s="3" t="s">
        <v>670</v>
      </c>
    </row>
    <row r="954" spans="1:5">
      <c r="A954" s="12" t="s">
        <v>523</v>
      </c>
      <c r="B954" s="11" t="s">
        <v>522</v>
      </c>
      <c r="C954" s="3" t="s">
        <v>2407</v>
      </c>
    </row>
    <row r="955" spans="1:5">
      <c r="A955" s="12" t="s">
        <v>1128</v>
      </c>
      <c r="B955" s="11" t="s">
        <v>1127</v>
      </c>
      <c r="C955" s="3" t="s">
        <v>2408</v>
      </c>
    </row>
    <row r="956" spans="1:5">
      <c r="A956" s="12" t="s">
        <v>2411</v>
      </c>
      <c r="B956" s="11" t="s">
        <v>2410</v>
      </c>
      <c r="C956" s="3" t="s">
        <v>2409</v>
      </c>
    </row>
    <row r="957" spans="1:5">
      <c r="A957" s="12" t="s">
        <v>2413</v>
      </c>
      <c r="B957" s="11" t="s">
        <v>2412</v>
      </c>
      <c r="C957" s="3" t="s">
        <v>922</v>
      </c>
    </row>
    <row r="958" spans="1:5">
      <c r="A958" s="12" t="s">
        <v>2416</v>
      </c>
      <c r="B958" s="11" t="s">
        <v>2415</v>
      </c>
      <c r="C958" s="3" t="s">
        <v>2414</v>
      </c>
    </row>
    <row r="959" spans="1:5">
      <c r="A959" s="12" t="s">
        <v>2323</v>
      </c>
      <c r="B959" s="11" t="s">
        <v>2322</v>
      </c>
      <c r="C959" s="3" t="s">
        <v>2321</v>
      </c>
    </row>
    <row r="960" spans="1:5">
      <c r="A960" s="12" t="s">
        <v>2419</v>
      </c>
      <c r="B960" s="11" t="s">
        <v>2418</v>
      </c>
      <c r="C960" s="3" t="s">
        <v>2417</v>
      </c>
    </row>
    <row r="961" spans="1:5">
      <c r="A961" s="12" t="s">
        <v>2421</v>
      </c>
      <c r="B961" s="11" t="s">
        <v>2420</v>
      </c>
      <c r="C961" s="3" t="s">
        <v>832</v>
      </c>
    </row>
    <row r="962" spans="1:5">
      <c r="A962" s="12" t="s">
        <v>624</v>
      </c>
      <c r="B962" s="11" t="s">
        <v>623</v>
      </c>
      <c r="C962" s="3" t="s">
        <v>1183</v>
      </c>
    </row>
    <row r="963" spans="1:5">
      <c r="A963" s="12" t="s">
        <v>2051</v>
      </c>
      <c r="B963" s="11" t="s">
        <v>2050</v>
      </c>
      <c r="C963" s="3" t="s">
        <v>2049</v>
      </c>
    </row>
    <row r="964" spans="1:5">
      <c r="A964" s="12" t="s">
        <v>2423</v>
      </c>
      <c r="B964" s="11" t="s">
        <v>2422</v>
      </c>
      <c r="C964" s="3" t="s">
        <v>1146</v>
      </c>
    </row>
    <row r="965" spans="1:5">
      <c r="A965" s="12" t="s">
        <v>2003</v>
      </c>
      <c r="B965" s="96" t="s">
        <v>2002</v>
      </c>
      <c r="C965" s="3" t="s">
        <v>2424</v>
      </c>
    </row>
    <row r="966" spans="1:5">
      <c r="A966" s="12" t="s">
        <v>2379</v>
      </c>
      <c r="B966" s="11" t="s">
        <v>2378</v>
      </c>
      <c r="C966" s="3" t="s">
        <v>2425</v>
      </c>
    </row>
    <row r="967" spans="1:5">
      <c r="A967" s="12" t="s">
        <v>888</v>
      </c>
      <c r="B967" s="11" t="s">
        <v>887</v>
      </c>
      <c r="C967" s="3" t="s">
        <v>886</v>
      </c>
    </row>
    <row r="968" spans="1:5">
      <c r="A968" s="12" t="s">
        <v>2428</v>
      </c>
      <c r="B968" s="11" t="s">
        <v>2427</v>
      </c>
      <c r="C968" s="3" t="s">
        <v>2426</v>
      </c>
    </row>
    <row r="969" spans="1:5" ht="21">
      <c r="A969" s="100">
        <v>42451</v>
      </c>
      <c r="B969" s="100"/>
      <c r="C969" s="100"/>
      <c r="D969" s="100"/>
      <c r="E969" s="100"/>
    </row>
    <row r="970" spans="1:5">
      <c r="A970" s="12" t="s">
        <v>2430</v>
      </c>
      <c r="B970" s="11" t="s">
        <v>2430</v>
      </c>
      <c r="C970" s="3" t="s">
        <v>2429</v>
      </c>
    </row>
    <row r="971" spans="1:5">
      <c r="A971" s="12" t="s">
        <v>2433</v>
      </c>
      <c r="B971" s="11" t="s">
        <v>2432</v>
      </c>
      <c r="C971" s="3" t="s">
        <v>2431</v>
      </c>
    </row>
    <row r="972" spans="1:5" s="7" customFormat="1">
      <c r="A972" s="85" t="s">
        <v>1226</v>
      </c>
      <c r="B972" s="86" t="s">
        <v>1225</v>
      </c>
      <c r="C972" s="87" t="s">
        <v>2434</v>
      </c>
      <c r="D972" s="87"/>
      <c r="E972" s="87" t="s">
        <v>2435</v>
      </c>
    </row>
    <row r="973" spans="1:5">
      <c r="A973" s="12" t="s">
        <v>2051</v>
      </c>
      <c r="B973" s="11" t="s">
        <v>2050</v>
      </c>
      <c r="C973" s="3" t="s">
        <v>2049</v>
      </c>
    </row>
    <row r="974" spans="1:5">
      <c r="A974" s="12" t="s">
        <v>2288</v>
      </c>
      <c r="B974" s="11" t="s">
        <v>2287</v>
      </c>
      <c r="C974" s="3" t="s">
        <v>2286</v>
      </c>
    </row>
    <row r="975" spans="1:5">
      <c r="A975" s="12" t="s">
        <v>2438</v>
      </c>
      <c r="B975" s="11" t="s">
        <v>2437</v>
      </c>
      <c r="C975" s="3" t="s">
        <v>2436</v>
      </c>
    </row>
    <row r="976" spans="1:5">
      <c r="A976" s="12" t="s">
        <v>1695</v>
      </c>
      <c r="B976" s="11" t="s">
        <v>1694</v>
      </c>
      <c r="C976" s="3" t="s">
        <v>1696</v>
      </c>
    </row>
    <row r="977" spans="1:5">
      <c r="A977" s="12" t="s">
        <v>1646</v>
      </c>
      <c r="B977" s="11" t="s">
        <v>1645</v>
      </c>
      <c r="C977" s="3" t="s">
        <v>1805</v>
      </c>
      <c r="E977" s="3" t="s">
        <v>2439</v>
      </c>
    </row>
    <row r="978" spans="1:5">
      <c r="A978" s="12" t="s">
        <v>2442</v>
      </c>
      <c r="B978" s="11" t="s">
        <v>2441</v>
      </c>
      <c r="C978" s="3" t="s">
        <v>2440</v>
      </c>
      <c r="E978" s="3" t="s">
        <v>2443</v>
      </c>
    </row>
    <row r="979" spans="1:5">
      <c r="A979" s="12" t="s">
        <v>888</v>
      </c>
      <c r="B979" s="11" t="s">
        <v>887</v>
      </c>
      <c r="C979" s="3" t="s">
        <v>886</v>
      </c>
    </row>
    <row r="980" spans="1:5" ht="21">
      <c r="A980" s="100">
        <v>42452</v>
      </c>
      <c r="B980" s="100"/>
      <c r="C980" s="100"/>
      <c r="D980" s="100"/>
      <c r="E980" s="100"/>
    </row>
    <row r="981" spans="1:5">
      <c r="A981" s="12" t="s">
        <v>2446</v>
      </c>
      <c r="B981" s="11" t="s">
        <v>2445</v>
      </c>
      <c r="C981" s="3" t="s">
        <v>2444</v>
      </c>
    </row>
    <row r="982" spans="1:5">
      <c r="A982" s="12" t="s">
        <v>1579</v>
      </c>
      <c r="B982" s="11" t="s">
        <v>1578</v>
      </c>
      <c r="C982" s="3" t="s">
        <v>1580</v>
      </c>
    </row>
    <row r="983" spans="1:5">
      <c r="A983" s="12" t="s">
        <v>2449</v>
      </c>
      <c r="B983" s="11" t="s">
        <v>2448</v>
      </c>
      <c r="C983" s="3" t="s">
        <v>2447</v>
      </c>
    </row>
    <row r="984" spans="1:5">
      <c r="A984" s="12" t="s">
        <v>2452</v>
      </c>
      <c r="B984" s="11" t="s">
        <v>2451</v>
      </c>
      <c r="C984" s="3" t="s">
        <v>2450</v>
      </c>
    </row>
    <row r="985" spans="1:5">
      <c r="A985" s="12" t="s">
        <v>601</v>
      </c>
      <c r="B985" s="11" t="s">
        <v>600</v>
      </c>
      <c r="C985" s="3" t="s">
        <v>599</v>
      </c>
    </row>
    <row r="986" spans="1:5">
      <c r="A986" s="12" t="s">
        <v>1477</v>
      </c>
      <c r="B986" s="11" t="s">
        <v>2453</v>
      </c>
      <c r="C986" s="3" t="s">
        <v>1475</v>
      </c>
    </row>
    <row r="987" spans="1:5">
      <c r="A987" s="12" t="s">
        <v>2456</v>
      </c>
      <c r="B987" s="11" t="s">
        <v>2455</v>
      </c>
      <c r="C987" s="3" t="s">
        <v>2454</v>
      </c>
    </row>
    <row r="988" spans="1:5">
      <c r="A988" s="12" t="s">
        <v>2459</v>
      </c>
      <c r="B988" s="11" t="s">
        <v>2458</v>
      </c>
      <c r="C988" s="3" t="s">
        <v>2457</v>
      </c>
    </row>
    <row r="989" spans="1:5" ht="21">
      <c r="A989" s="100">
        <v>42453</v>
      </c>
      <c r="B989" s="100"/>
      <c r="C989" s="100"/>
      <c r="D989" s="100"/>
      <c r="E989" s="100"/>
    </row>
    <row r="990" spans="1:5">
      <c r="A990" s="12" t="s">
        <v>2462</v>
      </c>
      <c r="B990" s="11" t="s">
        <v>2461</v>
      </c>
      <c r="C990" s="3" t="s">
        <v>2460</v>
      </c>
    </row>
    <row r="991" spans="1:5">
      <c r="A991" s="12" t="s">
        <v>2464</v>
      </c>
      <c r="B991" s="11" t="s">
        <v>2463</v>
      </c>
      <c r="C991" s="3" t="s">
        <v>2465</v>
      </c>
    </row>
    <row r="992" spans="1:5">
      <c r="A992" s="12" t="s">
        <v>1721</v>
      </c>
      <c r="B992" s="11" t="s">
        <v>1720</v>
      </c>
      <c r="C992" s="3" t="s">
        <v>1719</v>
      </c>
    </row>
    <row r="993" spans="1:5">
      <c r="A993" s="12" t="s">
        <v>2036</v>
      </c>
      <c r="B993" s="11" t="s">
        <v>2035</v>
      </c>
      <c r="C993" s="3" t="s">
        <v>1874</v>
      </c>
    </row>
    <row r="994" spans="1:5">
      <c r="A994" s="12" t="s">
        <v>1701</v>
      </c>
      <c r="B994" s="11" t="s">
        <v>18</v>
      </c>
      <c r="C994" s="3" t="s">
        <v>2304</v>
      </c>
    </row>
    <row r="995" spans="1:5">
      <c r="A995" s="12" t="s">
        <v>2365</v>
      </c>
      <c r="B995" s="11" t="s">
        <v>2364</v>
      </c>
      <c r="C995" s="3" t="s">
        <v>2363</v>
      </c>
    </row>
    <row r="996" spans="1:5">
      <c r="A996" s="12" t="s">
        <v>1181</v>
      </c>
      <c r="B996" s="11" t="s">
        <v>1180</v>
      </c>
      <c r="C996" s="3" t="s">
        <v>807</v>
      </c>
    </row>
    <row r="997" spans="1:5">
      <c r="A997" s="12" t="s">
        <v>2468</v>
      </c>
      <c r="B997" s="11" t="s">
        <v>2467</v>
      </c>
      <c r="C997" s="3" t="s">
        <v>2466</v>
      </c>
      <c r="E997" s="3" t="s">
        <v>2469</v>
      </c>
    </row>
    <row r="998" spans="1:5">
      <c r="A998" s="12" t="s">
        <v>2472</v>
      </c>
      <c r="B998" s="11" t="s">
        <v>2471</v>
      </c>
      <c r="C998" s="3" t="s">
        <v>2470</v>
      </c>
    </row>
    <row r="999" spans="1:5">
      <c r="A999" s="12" t="s">
        <v>2475</v>
      </c>
      <c r="B999" s="11" t="s">
        <v>2474</v>
      </c>
      <c r="C999" s="3" t="s">
        <v>2473</v>
      </c>
    </row>
    <row r="1000" spans="1:5" ht="21">
      <c r="A1000" s="100">
        <v>42456</v>
      </c>
      <c r="B1000" s="100"/>
      <c r="C1000" s="100"/>
      <c r="D1000" s="100"/>
      <c r="E1000" s="100"/>
    </row>
    <row r="1001" spans="1:5">
      <c r="A1001" s="12" t="s">
        <v>1701</v>
      </c>
      <c r="B1001" s="11" t="s">
        <v>18</v>
      </c>
      <c r="C1001" s="98" t="s">
        <v>2476</v>
      </c>
      <c r="E1001" s="3" t="s">
        <v>2477</v>
      </c>
    </row>
    <row r="1002" spans="1:5">
      <c r="A1002" s="12" t="s">
        <v>2480</v>
      </c>
      <c r="B1002" s="11" t="s">
        <v>2479</v>
      </c>
      <c r="C1002" s="3" t="s">
        <v>2478</v>
      </c>
    </row>
    <row r="1003" spans="1:5">
      <c r="A1003" s="12" t="s">
        <v>2483</v>
      </c>
      <c r="B1003" s="11" t="s">
        <v>2482</v>
      </c>
      <c r="C1003" s="3" t="s">
        <v>2481</v>
      </c>
    </row>
    <row r="1004" spans="1:5">
      <c r="A1004" s="12" t="s">
        <v>2486</v>
      </c>
      <c r="B1004" s="11" t="s">
        <v>2485</v>
      </c>
      <c r="C1004" s="3" t="s">
        <v>2484</v>
      </c>
    </row>
    <row r="1005" spans="1:5">
      <c r="A1005" s="12" t="s">
        <v>2489</v>
      </c>
      <c r="B1005" s="11" t="s">
        <v>2488</v>
      </c>
      <c r="C1005" s="3" t="s">
        <v>2487</v>
      </c>
    </row>
    <row r="1006" spans="1:5">
      <c r="A1006" s="12" t="s">
        <v>1169</v>
      </c>
      <c r="B1006" s="11" t="s">
        <v>1168</v>
      </c>
      <c r="C1006" s="3" t="s">
        <v>870</v>
      </c>
    </row>
    <row r="1007" spans="1:5" ht="21">
      <c r="A1007" s="100">
        <v>42458</v>
      </c>
      <c r="B1007" s="100"/>
      <c r="C1007" s="100"/>
      <c r="D1007" s="100"/>
      <c r="E1007" s="100"/>
    </row>
    <row r="1008" spans="1:5">
      <c r="A1008" s="12" t="s">
        <v>2493</v>
      </c>
      <c r="B1008" s="11" t="s">
        <v>2492</v>
      </c>
      <c r="C1008" s="3" t="s">
        <v>2491</v>
      </c>
      <c r="D1008" s="3" t="s">
        <v>2490</v>
      </c>
      <c r="E1008" s="3" t="s">
        <v>2494</v>
      </c>
    </row>
    <row r="1009" spans="1:5">
      <c r="A1009" s="12" t="s">
        <v>1881</v>
      </c>
      <c r="B1009" s="11" t="s">
        <v>1880</v>
      </c>
      <c r="C1009" s="3" t="s">
        <v>1162</v>
      </c>
    </row>
    <row r="1010" spans="1:5">
      <c r="A1010" s="12" t="s">
        <v>1822</v>
      </c>
      <c r="B1010" s="11" t="s">
        <v>1821</v>
      </c>
      <c r="C1010" s="3" t="s">
        <v>2219</v>
      </c>
    </row>
    <row r="1011" spans="1:5">
      <c r="A1011" s="12" t="s">
        <v>2498</v>
      </c>
      <c r="B1011" s="11" t="s">
        <v>2497</v>
      </c>
      <c r="C1011" s="3" t="s">
        <v>2495</v>
      </c>
      <c r="E1011" s="3" t="s">
        <v>2496</v>
      </c>
    </row>
    <row r="1012" spans="1:5">
      <c r="A1012" s="12" t="s">
        <v>2361</v>
      </c>
      <c r="B1012" s="11" t="s">
        <v>2360</v>
      </c>
      <c r="E1012" s="3" t="s">
        <v>2499</v>
      </c>
    </row>
    <row r="1013" spans="1:5">
      <c r="A1013" s="12" t="s">
        <v>822</v>
      </c>
      <c r="B1013" s="11" t="s">
        <v>821</v>
      </c>
      <c r="C1013" s="3" t="s">
        <v>820</v>
      </c>
      <c r="D1013" s="3" t="s">
        <v>2500</v>
      </c>
    </row>
    <row r="1014" spans="1:5">
      <c r="A1014" s="12" t="s">
        <v>2502</v>
      </c>
      <c r="B1014" s="11" t="s">
        <v>2501</v>
      </c>
      <c r="C1014" s="3" t="s">
        <v>1036</v>
      </c>
    </row>
    <row r="1015" spans="1:5">
      <c r="A1015" s="12" t="s">
        <v>2505</v>
      </c>
      <c r="B1015" s="11" t="s">
        <v>2504</v>
      </c>
      <c r="C1015" s="3" t="s">
        <v>2503</v>
      </c>
    </row>
    <row r="1016" spans="1:5">
      <c r="A1016" s="12" t="s">
        <v>2508</v>
      </c>
      <c r="B1016" s="11" t="s">
        <v>2507</v>
      </c>
      <c r="C1016" s="3" t="s">
        <v>2506</v>
      </c>
    </row>
    <row r="1017" spans="1:5">
      <c r="A1017" s="12" t="s">
        <v>2511</v>
      </c>
      <c r="B1017" s="11" t="s">
        <v>2510</v>
      </c>
      <c r="C1017" s="3" t="s">
        <v>2509</v>
      </c>
    </row>
    <row r="1018" spans="1:5">
      <c r="A1018" s="12" t="s">
        <v>2514</v>
      </c>
      <c r="B1018" s="11" t="s">
        <v>2513</v>
      </c>
      <c r="C1018" s="3" t="s">
        <v>2512</v>
      </c>
    </row>
    <row r="1019" spans="1:5">
      <c r="A1019" s="12" t="s">
        <v>2518</v>
      </c>
      <c r="B1019" s="11" t="s">
        <v>2517</v>
      </c>
      <c r="C1019" s="3" t="s">
        <v>2515</v>
      </c>
      <c r="E1019" s="3" t="s">
        <v>2516</v>
      </c>
    </row>
    <row r="1020" spans="1:5">
      <c r="A1020" s="12" t="s">
        <v>2520</v>
      </c>
      <c r="B1020" s="11" t="s">
        <v>2519</v>
      </c>
      <c r="C1020" s="3" t="s">
        <v>2521</v>
      </c>
    </row>
    <row r="1021" spans="1:5" ht="21">
      <c r="A1021" s="100">
        <v>42459</v>
      </c>
      <c r="B1021" s="100"/>
      <c r="C1021" s="100"/>
      <c r="D1021" s="100"/>
      <c r="E1021" s="100"/>
    </row>
    <row r="1022" spans="1:5">
      <c r="A1022" s="12" t="s">
        <v>1220</v>
      </c>
      <c r="B1022" s="11" t="s">
        <v>1219</v>
      </c>
      <c r="C1022" s="3" t="s">
        <v>1218</v>
      </c>
    </row>
    <row r="1023" spans="1:5">
      <c r="A1023" s="12" t="s">
        <v>2525</v>
      </c>
      <c r="B1023" s="11" t="s">
        <v>2524</v>
      </c>
      <c r="C1023" s="3" t="s">
        <v>2523</v>
      </c>
    </row>
    <row r="1024" spans="1:5">
      <c r="A1024" s="12" t="s">
        <v>2527</v>
      </c>
      <c r="B1024" s="11" t="s">
        <v>2526</v>
      </c>
      <c r="C1024" s="3" t="s">
        <v>599</v>
      </c>
    </row>
    <row r="1025" spans="1:5">
      <c r="A1025" s="12" t="s">
        <v>2529</v>
      </c>
      <c r="B1025" s="11" t="s">
        <v>2528</v>
      </c>
      <c r="C1025" s="3" t="s">
        <v>2522</v>
      </c>
    </row>
    <row r="1026" spans="1:5">
      <c r="A1026" s="12" t="s">
        <v>2531</v>
      </c>
      <c r="B1026" s="11" t="s">
        <v>2530</v>
      </c>
      <c r="C1026" s="3" t="s">
        <v>1827</v>
      </c>
    </row>
    <row r="1027" spans="1:5">
      <c r="A1027" s="12" t="s">
        <v>2534</v>
      </c>
      <c r="B1027" s="11" t="s">
        <v>2533</v>
      </c>
      <c r="C1027" s="3" t="s">
        <v>2532</v>
      </c>
    </row>
    <row r="1028" spans="1:5">
      <c r="A1028" s="12" t="s">
        <v>2536</v>
      </c>
      <c r="B1028" s="11" t="s">
        <v>2535</v>
      </c>
      <c r="C1028" s="3" t="s">
        <v>2506</v>
      </c>
    </row>
    <row r="1029" spans="1:5">
      <c r="A1029" s="12" t="s">
        <v>2539</v>
      </c>
      <c r="B1029" s="11" t="s">
        <v>2538</v>
      </c>
      <c r="C1029" s="3" t="s">
        <v>2537</v>
      </c>
    </row>
    <row r="1030" spans="1:5">
      <c r="A1030" s="12" t="s">
        <v>488</v>
      </c>
      <c r="B1030" s="11" t="s">
        <v>487</v>
      </c>
      <c r="C1030" s="3" t="s">
        <v>486</v>
      </c>
      <c r="E1030" s="3" t="s">
        <v>2540</v>
      </c>
    </row>
    <row r="1031" spans="1:5">
      <c r="A1031" s="12" t="s">
        <v>2269</v>
      </c>
      <c r="B1031" s="11" t="s">
        <v>796</v>
      </c>
      <c r="C1031" s="3" t="s">
        <v>795</v>
      </c>
    </row>
    <row r="1032" spans="1:5">
      <c r="A1032" s="12" t="s">
        <v>1574</v>
      </c>
      <c r="B1032" s="11" t="s">
        <v>1573</v>
      </c>
      <c r="C1032" s="3" t="s">
        <v>1768</v>
      </c>
    </row>
    <row r="1033" spans="1:5">
      <c r="A1033" s="12" t="s">
        <v>2542</v>
      </c>
      <c r="B1033" s="11" t="s">
        <v>2541</v>
      </c>
      <c r="C1033" s="3" t="s">
        <v>1815</v>
      </c>
    </row>
    <row r="1034" spans="1:5">
      <c r="A1034" s="12" t="s">
        <v>2545</v>
      </c>
      <c r="B1034" s="11" t="s">
        <v>2544</v>
      </c>
      <c r="C1034" s="3" t="s">
        <v>2543</v>
      </c>
    </row>
    <row r="1035" spans="1:5">
      <c r="A1035" s="12" t="s">
        <v>2548</v>
      </c>
      <c r="B1035" s="11" t="s">
        <v>2547</v>
      </c>
      <c r="C1035" s="3" t="s">
        <v>2546</v>
      </c>
    </row>
    <row r="1036" spans="1:5" s="7" customFormat="1">
      <c r="A1036" s="85" t="s">
        <v>2550</v>
      </c>
      <c r="B1036" s="86" t="s">
        <v>2549</v>
      </c>
      <c r="C1036" s="87" t="s">
        <v>658</v>
      </c>
      <c r="D1036" s="87"/>
      <c r="E1036" s="87" t="s">
        <v>2551</v>
      </c>
    </row>
    <row r="1037" spans="1:5" ht="21">
      <c r="A1037" s="100">
        <v>42460</v>
      </c>
      <c r="B1037" s="100"/>
      <c r="C1037" s="100"/>
      <c r="D1037" s="100"/>
      <c r="E1037" s="100"/>
    </row>
    <row r="1038" spans="1:5">
      <c r="A1038" s="12" t="s">
        <v>2554</v>
      </c>
      <c r="B1038" s="11" t="s">
        <v>2553</v>
      </c>
      <c r="C1038" s="3" t="s">
        <v>2552</v>
      </c>
    </row>
    <row r="1039" spans="1:5">
      <c r="A1039" s="12" t="s">
        <v>2556</v>
      </c>
      <c r="B1039" s="11" t="s">
        <v>2555</v>
      </c>
      <c r="C1039" s="3" t="s">
        <v>1019</v>
      </c>
    </row>
    <row r="1040" spans="1:5">
      <c r="A1040" s="12" t="s">
        <v>1721</v>
      </c>
      <c r="B1040" s="11" t="s">
        <v>2255</v>
      </c>
      <c r="C1040" s="3" t="s">
        <v>1719</v>
      </c>
    </row>
    <row r="1041" spans="1:5">
      <c r="A1041" s="12" t="s">
        <v>1634</v>
      </c>
      <c r="B1041" s="11" t="s">
        <v>1633</v>
      </c>
      <c r="C1041" s="3" t="s">
        <v>1632</v>
      </c>
    </row>
    <row r="1042" spans="1:5">
      <c r="A1042" s="12" t="s">
        <v>2416</v>
      </c>
      <c r="B1042" s="11" t="s">
        <v>2415</v>
      </c>
      <c r="C1042" s="3" t="s">
        <v>2414</v>
      </c>
    </row>
    <row r="1043" spans="1:5">
      <c r="A1043" s="12" t="s">
        <v>657</v>
      </c>
      <c r="B1043" s="11" t="s">
        <v>656</v>
      </c>
      <c r="C1043" s="3" t="s">
        <v>503</v>
      </c>
    </row>
    <row r="1044" spans="1:5">
      <c r="A1044" s="12" t="s">
        <v>2560</v>
      </c>
      <c r="B1044" s="11" t="s">
        <v>2559</v>
      </c>
      <c r="C1044" s="3" t="s">
        <v>2558</v>
      </c>
    </row>
    <row r="1045" spans="1:5">
      <c r="A1045" s="12" t="s">
        <v>1789</v>
      </c>
      <c r="B1045" s="11" t="s">
        <v>2561</v>
      </c>
      <c r="C1045" s="3" t="s">
        <v>1787</v>
      </c>
    </row>
    <row r="1046" spans="1:5">
      <c r="A1046" s="12" t="s">
        <v>497</v>
      </c>
      <c r="B1046" s="11" t="s">
        <v>2562</v>
      </c>
      <c r="C1046" s="3" t="s">
        <v>2563</v>
      </c>
    </row>
    <row r="1047" spans="1:5">
      <c r="A1047" s="12" t="s">
        <v>717</v>
      </c>
      <c r="B1047" s="11" t="s">
        <v>716</v>
      </c>
      <c r="C1047" s="3" t="s">
        <v>715</v>
      </c>
    </row>
    <row r="1048" spans="1:5">
      <c r="A1048" s="12" t="s">
        <v>1921</v>
      </c>
      <c r="B1048" s="11" t="s">
        <v>1920</v>
      </c>
      <c r="C1048" s="3" t="s">
        <v>1922</v>
      </c>
    </row>
    <row r="1049" spans="1:5">
      <c r="A1049" s="12" t="s">
        <v>441</v>
      </c>
      <c r="B1049" s="11" t="s">
        <v>440</v>
      </c>
      <c r="C1049" s="3" t="s">
        <v>2564</v>
      </c>
    </row>
    <row r="1050" spans="1:5">
      <c r="A1050" s="12" t="s">
        <v>2566</v>
      </c>
      <c r="B1050" s="11" t="s">
        <v>2565</v>
      </c>
      <c r="C1050" s="3" t="s">
        <v>1306</v>
      </c>
    </row>
    <row r="1051" spans="1:5">
      <c r="A1051" s="12" t="s">
        <v>2347</v>
      </c>
      <c r="B1051" s="11" t="s">
        <v>2346</v>
      </c>
      <c r="C1051" s="3" t="s">
        <v>2345</v>
      </c>
    </row>
    <row r="1052" spans="1:5">
      <c r="A1052" s="12" t="s">
        <v>2569</v>
      </c>
      <c r="B1052" s="11" t="s">
        <v>2568</v>
      </c>
      <c r="C1052" s="3" t="s">
        <v>2567</v>
      </c>
    </row>
    <row r="1053" spans="1:5">
      <c r="A1053" s="12" t="s">
        <v>1989</v>
      </c>
      <c r="B1053" s="3" t="s">
        <v>2570</v>
      </c>
      <c r="C1053" s="3" t="s">
        <v>1987</v>
      </c>
    </row>
    <row r="1054" spans="1:5">
      <c r="A1054" s="12" t="s">
        <v>1958</v>
      </c>
      <c r="B1054" s="11" t="s">
        <v>1957</v>
      </c>
      <c r="C1054" s="3" t="s">
        <v>2571</v>
      </c>
    </row>
    <row r="1055" spans="1:5" ht="21">
      <c r="A1055" s="100">
        <v>42463</v>
      </c>
      <c r="B1055" s="100"/>
      <c r="C1055" s="100"/>
      <c r="D1055" s="100"/>
      <c r="E1055" s="100"/>
    </row>
    <row r="1056" spans="1:5">
      <c r="A1056" s="12" t="s">
        <v>2573</v>
      </c>
      <c r="B1056" s="11" t="s">
        <v>2572</v>
      </c>
      <c r="C1056" s="3" t="s">
        <v>1093</v>
      </c>
    </row>
    <row r="1057" spans="1:5">
      <c r="A1057" s="12" t="s">
        <v>2576</v>
      </c>
      <c r="B1057" s="11" t="s">
        <v>2575</v>
      </c>
      <c r="C1057" s="3" t="s">
        <v>2574</v>
      </c>
    </row>
    <row r="1058" spans="1:5">
      <c r="A1058" s="12" t="s">
        <v>2579</v>
      </c>
      <c r="B1058" s="11" t="s">
        <v>2578</v>
      </c>
      <c r="C1058" s="3" t="s">
        <v>2577</v>
      </c>
    </row>
    <row r="1059" spans="1:5">
      <c r="A1059" s="12" t="s">
        <v>2582</v>
      </c>
      <c r="B1059" s="11" t="s">
        <v>2581</v>
      </c>
      <c r="C1059" s="3" t="s">
        <v>2580</v>
      </c>
      <c r="D1059" s="3" t="s">
        <v>2583</v>
      </c>
    </row>
    <row r="1060" spans="1:5">
      <c r="A1060" s="12" t="s">
        <v>1092</v>
      </c>
      <c r="B1060" s="11" t="s">
        <v>1091</v>
      </c>
      <c r="C1060" s="3" t="s">
        <v>1090</v>
      </c>
    </row>
    <row r="1061" spans="1:5" ht="21">
      <c r="A1061" s="100">
        <v>42464</v>
      </c>
      <c r="B1061" s="100"/>
      <c r="C1061" s="100"/>
      <c r="D1061" s="100"/>
      <c r="E1061" s="100"/>
    </row>
    <row r="1062" spans="1:5">
      <c r="A1062" s="12" t="s">
        <v>2586</v>
      </c>
      <c r="B1062" s="11" t="s">
        <v>2585</v>
      </c>
      <c r="C1062" s="3" t="s">
        <v>2584</v>
      </c>
    </row>
    <row r="1063" spans="1:5">
      <c r="A1063" s="12" t="s">
        <v>1460</v>
      </c>
      <c r="B1063" s="11" t="s">
        <v>1459</v>
      </c>
      <c r="C1063" s="3" t="s">
        <v>1458</v>
      </c>
    </row>
    <row r="1064" spans="1:5">
      <c r="A1064" s="12" t="s">
        <v>2589</v>
      </c>
      <c r="B1064" s="86" t="s">
        <v>2588</v>
      </c>
      <c r="C1064" s="3" t="s">
        <v>2587</v>
      </c>
    </row>
    <row r="1065" spans="1:5">
      <c r="A1065" s="12" t="s">
        <v>2556</v>
      </c>
      <c r="B1065" s="11" t="s">
        <v>2555</v>
      </c>
      <c r="C1065" s="3" t="s">
        <v>556</v>
      </c>
    </row>
    <row r="1066" spans="1:5">
      <c r="A1066" s="12" t="s">
        <v>2592</v>
      </c>
      <c r="B1066" s="11" t="s">
        <v>2591</v>
      </c>
      <c r="C1066" s="3" t="s">
        <v>2590</v>
      </c>
    </row>
    <row r="1067" spans="1:5">
      <c r="A1067" s="12" t="s">
        <v>2595</v>
      </c>
      <c r="B1067" s="11" t="s">
        <v>2594</v>
      </c>
      <c r="C1067" s="3" t="s">
        <v>2593</v>
      </c>
    </row>
    <row r="1068" spans="1:5">
      <c r="A1068" s="12" t="s">
        <v>1137</v>
      </c>
      <c r="B1068" s="11" t="s">
        <v>1136</v>
      </c>
      <c r="C1068" s="3" t="s">
        <v>1977</v>
      </c>
    </row>
    <row r="1069" spans="1:5">
      <c r="A1069" s="12" t="s">
        <v>2598</v>
      </c>
      <c r="B1069" s="11" t="s">
        <v>2597</v>
      </c>
      <c r="C1069" s="3" t="s">
        <v>2596</v>
      </c>
    </row>
    <row r="1070" spans="1:5">
      <c r="A1070" s="12" t="s">
        <v>2601</v>
      </c>
      <c r="B1070" s="11" t="s">
        <v>2600</v>
      </c>
      <c r="C1070" s="3" t="s">
        <v>2599</v>
      </c>
    </row>
    <row r="1071" spans="1:5">
      <c r="A1071" s="12" t="s">
        <v>1534</v>
      </c>
      <c r="B1071" s="11" t="s">
        <v>1533</v>
      </c>
      <c r="C1071" s="3" t="s">
        <v>1532</v>
      </c>
    </row>
    <row r="1072" spans="1:5">
      <c r="A1072" s="12" t="s">
        <v>987</v>
      </c>
      <c r="B1072" s="11" t="s">
        <v>986</v>
      </c>
      <c r="C1072" s="3" t="s">
        <v>985</v>
      </c>
    </row>
    <row r="1073" spans="1:5">
      <c r="A1073" s="12" t="s">
        <v>918</v>
      </c>
      <c r="B1073" s="11" t="s">
        <v>917</v>
      </c>
      <c r="C1073" s="3" t="s">
        <v>2602</v>
      </c>
    </row>
    <row r="1074" spans="1:5">
      <c r="A1074" s="12" t="s">
        <v>2604</v>
      </c>
      <c r="B1074" s="11" t="s">
        <v>2603</v>
      </c>
      <c r="C1074" s="3" t="s">
        <v>2605</v>
      </c>
    </row>
    <row r="1075" spans="1:5">
      <c r="A1075" s="12" t="s">
        <v>2608</v>
      </c>
      <c r="B1075" s="11" t="s">
        <v>2607</v>
      </c>
      <c r="C1075" s="3" t="s">
        <v>2606</v>
      </c>
    </row>
    <row r="1076" spans="1:5">
      <c r="A1076" s="12" t="s">
        <v>630</v>
      </c>
      <c r="B1076" s="11" t="s">
        <v>2609</v>
      </c>
      <c r="C1076" s="3" t="s">
        <v>2118</v>
      </c>
    </row>
    <row r="1077" spans="1:5">
      <c r="A1077" s="12" t="s">
        <v>2612</v>
      </c>
      <c r="B1077" s="11" t="s">
        <v>2611</v>
      </c>
      <c r="C1077" s="3" t="s">
        <v>2610</v>
      </c>
    </row>
    <row r="1078" spans="1:5">
      <c r="A1078" s="12" t="s">
        <v>2614</v>
      </c>
      <c r="B1078" s="11" t="s">
        <v>2613</v>
      </c>
      <c r="C1078" s="3" t="s">
        <v>2450</v>
      </c>
    </row>
    <row r="1079" spans="1:5">
      <c r="A1079" s="12" t="s">
        <v>2615</v>
      </c>
      <c r="B1079" s="11" t="s">
        <v>1094</v>
      </c>
      <c r="C1079" s="3" t="s">
        <v>1030</v>
      </c>
    </row>
    <row r="1080" spans="1:5">
      <c r="A1080" s="12" t="s">
        <v>2617</v>
      </c>
      <c r="B1080" s="11" t="s">
        <v>2616</v>
      </c>
      <c r="C1080" s="3" t="s">
        <v>2618</v>
      </c>
    </row>
    <row r="1081" spans="1:5" ht="21">
      <c r="A1081" s="100">
        <v>42465</v>
      </c>
      <c r="B1081" s="100"/>
      <c r="C1081" s="100"/>
      <c r="D1081" s="100"/>
      <c r="E1081" s="100"/>
    </row>
    <row r="1082" spans="1:5">
      <c r="A1082" s="12" t="s">
        <v>965</v>
      </c>
      <c r="B1082" s="11" t="s">
        <v>964</v>
      </c>
      <c r="C1082" s="3" t="s">
        <v>2408</v>
      </c>
    </row>
    <row r="1083" spans="1:5">
      <c r="A1083" s="12" t="s">
        <v>2621</v>
      </c>
      <c r="B1083" s="11" t="s">
        <v>2620</v>
      </c>
      <c r="C1083" s="3" t="s">
        <v>2619</v>
      </c>
    </row>
    <row r="1084" spans="1:5">
      <c r="A1084" s="12" t="s">
        <v>2624</v>
      </c>
      <c r="B1084" s="11" t="s">
        <v>2623</v>
      </c>
      <c r="C1084" s="3" t="s">
        <v>2622</v>
      </c>
    </row>
    <row r="1085" spans="1:5">
      <c r="A1085" s="12" t="s">
        <v>2627</v>
      </c>
      <c r="B1085" s="11" t="s">
        <v>2626</v>
      </c>
      <c r="C1085" s="3" t="s">
        <v>2625</v>
      </c>
    </row>
    <row r="1086" spans="1:5">
      <c r="A1086" s="12" t="s">
        <v>1945</v>
      </c>
      <c r="B1086" s="11" t="s">
        <v>1944</v>
      </c>
      <c r="C1086" s="3" t="s">
        <v>1946</v>
      </c>
      <c r="D1086" s="3" t="s">
        <v>2129</v>
      </c>
    </row>
    <row r="1087" spans="1:5">
      <c r="A1087" s="12" t="s">
        <v>2629</v>
      </c>
      <c r="B1087" s="11" t="s">
        <v>2628</v>
      </c>
      <c r="C1087" s="3" t="s">
        <v>1836</v>
      </c>
    </row>
    <row r="1088" spans="1:5">
      <c r="A1088" s="12" t="s">
        <v>2000</v>
      </c>
      <c r="B1088" s="11" t="s">
        <v>1999</v>
      </c>
      <c r="C1088" s="3" t="s">
        <v>1998</v>
      </c>
    </row>
    <row r="1089" spans="1:5">
      <c r="A1089" s="12" t="s">
        <v>2631</v>
      </c>
      <c r="B1089" s="11" t="s">
        <v>2630</v>
      </c>
      <c r="C1089" s="3" t="s">
        <v>960</v>
      </c>
    </row>
    <row r="1090" spans="1:5">
      <c r="A1090" s="12" t="s">
        <v>2634</v>
      </c>
      <c r="B1090" s="11" t="s">
        <v>2633</v>
      </c>
      <c r="C1090" s="3" t="s">
        <v>2632</v>
      </c>
    </row>
    <row r="1091" spans="1:5">
      <c r="A1091" s="12" t="s">
        <v>2636</v>
      </c>
      <c r="B1091" s="11" t="s">
        <v>2635</v>
      </c>
      <c r="C1091" s="3" t="s">
        <v>1393</v>
      </c>
      <c r="D1091" s="3" t="s">
        <v>2637</v>
      </c>
    </row>
    <row r="1092" spans="1:5">
      <c r="A1092" s="12" t="s">
        <v>2640</v>
      </c>
      <c r="B1092" s="11" t="s">
        <v>2639</v>
      </c>
      <c r="C1092" s="3" t="s">
        <v>2638</v>
      </c>
    </row>
    <row r="1093" spans="1:5">
      <c r="A1093" s="12" t="s">
        <v>2238</v>
      </c>
      <c r="B1093" s="11" t="s">
        <v>2237</v>
      </c>
      <c r="C1093" s="3" t="s">
        <v>2641</v>
      </c>
    </row>
    <row r="1094" spans="1:5">
      <c r="A1094" s="12" t="s">
        <v>2238</v>
      </c>
      <c r="B1094" s="11" t="s">
        <v>2237</v>
      </c>
      <c r="C1094" s="3" t="s">
        <v>2236</v>
      </c>
      <c r="E1094" s="3" t="s">
        <v>2642</v>
      </c>
    </row>
    <row r="1095" spans="1:5">
      <c r="A1095" s="12" t="s">
        <v>2645</v>
      </c>
      <c r="B1095" s="11" t="s">
        <v>2644</v>
      </c>
      <c r="C1095" s="3" t="s">
        <v>2643</v>
      </c>
    </row>
    <row r="1096" spans="1:5" ht="21">
      <c r="A1096" s="100">
        <v>42466</v>
      </c>
      <c r="B1096" s="100"/>
      <c r="C1096" s="100"/>
      <c r="D1096" s="100"/>
      <c r="E1096" s="100"/>
    </row>
    <row r="1097" spans="1:5">
      <c r="A1097" s="12" t="s">
        <v>2647</v>
      </c>
      <c r="B1097" s="11" t="s">
        <v>2646</v>
      </c>
      <c r="C1097" s="3" t="s">
        <v>2648</v>
      </c>
    </row>
    <row r="1098" spans="1:5">
      <c r="A1098" s="12" t="s">
        <v>2652</v>
      </c>
      <c r="B1098" s="11" t="s">
        <v>2651</v>
      </c>
      <c r="C1098" s="3" t="s">
        <v>2649</v>
      </c>
      <c r="E1098" s="3" t="s">
        <v>2650</v>
      </c>
    </row>
    <row r="1099" spans="1:5">
      <c r="A1099" s="12" t="s">
        <v>473</v>
      </c>
      <c r="B1099" s="11" t="s">
        <v>1648</v>
      </c>
      <c r="C1099" s="3" t="s">
        <v>471</v>
      </c>
    </row>
    <row r="1100" spans="1:5">
      <c r="A1100" s="12" t="s">
        <v>756</v>
      </c>
      <c r="B1100" s="11" t="s">
        <v>755</v>
      </c>
      <c r="C1100" s="3" t="s">
        <v>754</v>
      </c>
    </row>
    <row r="1101" spans="1:5">
      <c r="A1101" s="12" t="s">
        <v>1919</v>
      </c>
      <c r="B1101" s="11" t="s">
        <v>1918</v>
      </c>
      <c r="C1101" s="3" t="s">
        <v>1917</v>
      </c>
    </row>
    <row r="1102" spans="1:5">
      <c r="A1102" s="12" t="s">
        <v>2655</v>
      </c>
      <c r="B1102" s="11" t="s">
        <v>2654</v>
      </c>
      <c r="C1102" s="3" t="s">
        <v>2653</v>
      </c>
    </row>
    <row r="1103" spans="1:5">
      <c r="A1103" s="12" t="s">
        <v>2658</v>
      </c>
      <c r="B1103" s="11" t="s">
        <v>2657</v>
      </c>
      <c r="C1103" s="3" t="s">
        <v>2656</v>
      </c>
    </row>
    <row r="1104" spans="1:5">
      <c r="A1104" s="12" t="s">
        <v>2486</v>
      </c>
      <c r="B1104" s="11" t="s">
        <v>2485</v>
      </c>
      <c r="C1104" s="3" t="s">
        <v>2484</v>
      </c>
    </row>
    <row r="1105" spans="1:5">
      <c r="A1105" s="12" t="s">
        <v>1921</v>
      </c>
      <c r="B1105" s="11" t="s">
        <v>2659</v>
      </c>
      <c r="C1105" s="3" t="s">
        <v>1922</v>
      </c>
    </row>
    <row r="1106" spans="1:5">
      <c r="A1106" s="12" t="s">
        <v>2662</v>
      </c>
      <c r="B1106" s="11" t="s">
        <v>2661</v>
      </c>
      <c r="C1106" s="3" t="s">
        <v>2660</v>
      </c>
    </row>
    <row r="1107" spans="1:5">
      <c r="A1107" s="12" t="s">
        <v>2063</v>
      </c>
      <c r="B1107" s="11" t="s">
        <v>2062</v>
      </c>
      <c r="C1107" s="3" t="s">
        <v>2663</v>
      </c>
    </row>
    <row r="1108" spans="1:5" ht="21">
      <c r="A1108" s="100">
        <v>42467</v>
      </c>
      <c r="B1108" s="100"/>
      <c r="C1108" s="100"/>
      <c r="D1108" s="100"/>
      <c r="E1108" s="100"/>
    </row>
    <row r="1109" spans="1:5">
      <c r="A1109" s="12" t="s">
        <v>2652</v>
      </c>
      <c r="B1109" s="11" t="s">
        <v>2651</v>
      </c>
      <c r="C1109" s="3" t="s">
        <v>2649</v>
      </c>
    </row>
    <row r="1110" spans="1:5">
      <c r="A1110" s="12" t="s">
        <v>953</v>
      </c>
      <c r="B1110" s="11" t="s">
        <v>2665</v>
      </c>
      <c r="C1110" s="3" t="s">
        <v>2664</v>
      </c>
    </row>
    <row r="1111" spans="1:5">
      <c r="A1111" s="12" t="s">
        <v>464</v>
      </c>
      <c r="B1111" s="11" t="s">
        <v>463</v>
      </c>
      <c r="C1111" s="3" t="s">
        <v>462</v>
      </c>
    </row>
    <row r="1112" spans="1:5">
      <c r="A1112" s="12" t="s">
        <v>1958</v>
      </c>
      <c r="B1112" s="11" t="s">
        <v>1957</v>
      </c>
      <c r="C1112" s="3" t="s">
        <v>2176</v>
      </c>
    </row>
    <row r="1113" spans="1:5">
      <c r="A1113" s="12" t="s">
        <v>2668</v>
      </c>
      <c r="B1113" s="11" t="s">
        <v>2667</v>
      </c>
      <c r="C1113" s="3" t="s">
        <v>2666</v>
      </c>
    </row>
    <row r="1114" spans="1:5">
      <c r="A1114" s="12" t="s">
        <v>2671</v>
      </c>
      <c r="B1114" s="11" t="s">
        <v>2670</v>
      </c>
      <c r="C1114" s="3" t="s">
        <v>2669</v>
      </c>
    </row>
    <row r="1115" spans="1:5">
      <c r="A1115" s="12" t="s">
        <v>1128</v>
      </c>
      <c r="B1115" s="11" t="s">
        <v>1127</v>
      </c>
      <c r="C1115" s="3" t="s">
        <v>2672</v>
      </c>
      <c r="E1115" t="s">
        <v>2673</v>
      </c>
    </row>
    <row r="1116" spans="1:5">
      <c r="A1116" s="12" t="s">
        <v>2200</v>
      </c>
      <c r="B1116" s="11" t="s">
        <v>2199</v>
      </c>
      <c r="C1116" s="3" t="s">
        <v>2197</v>
      </c>
    </row>
    <row r="1117" spans="1:5">
      <c r="A1117" s="12" t="s">
        <v>2612</v>
      </c>
      <c r="B1117" s="11" t="s">
        <v>2611</v>
      </c>
      <c r="C1117" s="3" t="s">
        <v>1666</v>
      </c>
    </row>
    <row r="1118" spans="1:5">
      <c r="A1118" s="12" t="s">
        <v>2676</v>
      </c>
      <c r="B1118" s="11" t="s">
        <v>2675</v>
      </c>
      <c r="C1118" s="3" t="s">
        <v>2674</v>
      </c>
    </row>
    <row r="1119" spans="1:5">
      <c r="A1119" s="12" t="s">
        <v>2679</v>
      </c>
      <c r="B1119" s="11" t="s">
        <v>2678</v>
      </c>
      <c r="C1119" s="3" t="s">
        <v>2677</v>
      </c>
    </row>
    <row r="1120" spans="1:5">
      <c r="A1120" s="12" t="s">
        <v>2681</v>
      </c>
      <c r="B1120" s="11" t="s">
        <v>2680</v>
      </c>
      <c r="C1120" s="3" t="s">
        <v>1616</v>
      </c>
    </row>
    <row r="1124" spans="1:5">
      <c r="A1124" s="12" t="s">
        <v>2684</v>
      </c>
      <c r="B1124" s="11" t="s">
        <v>2683</v>
      </c>
      <c r="C1124" s="3" t="s">
        <v>2682</v>
      </c>
      <c r="D1124" s="3" t="s">
        <v>944</v>
      </c>
    </row>
    <row r="1125" spans="1:5">
      <c r="A1125" s="12" t="s">
        <v>1534</v>
      </c>
      <c r="B1125" s="11" t="s">
        <v>1533</v>
      </c>
      <c r="C1125" s="3" t="s">
        <v>2685</v>
      </c>
      <c r="D1125" s="3" t="s">
        <v>2686</v>
      </c>
    </row>
    <row r="1126" spans="1:5">
      <c r="A1126" s="12" t="s">
        <v>2689</v>
      </c>
      <c r="B1126" s="11" t="s">
        <v>2688</v>
      </c>
      <c r="C1126" s="3" t="s">
        <v>2687</v>
      </c>
    </row>
    <row r="1127" spans="1:5">
      <c r="A1127" s="12" t="s">
        <v>2691</v>
      </c>
      <c r="B1127" s="11" t="s">
        <v>2690</v>
      </c>
      <c r="C1127" s="3" t="s">
        <v>777</v>
      </c>
    </row>
    <row r="1128" spans="1:5">
      <c r="A1128" s="12" t="s">
        <v>2694</v>
      </c>
      <c r="B1128" s="11" t="s">
        <v>2693</v>
      </c>
      <c r="C1128" s="3" t="s">
        <v>2692</v>
      </c>
    </row>
    <row r="1129" spans="1:5">
      <c r="A1129" s="12" t="s">
        <v>1007</v>
      </c>
      <c r="B1129" s="11" t="s">
        <v>1006</v>
      </c>
      <c r="C1129" s="3" t="s">
        <v>1005</v>
      </c>
    </row>
    <row r="1130" spans="1:5" ht="21">
      <c r="A1130" s="100">
        <v>42470</v>
      </c>
      <c r="B1130" s="100"/>
      <c r="C1130" s="100"/>
      <c r="D1130" s="100"/>
      <c r="E1130" s="100"/>
    </row>
    <row r="1131" spans="1:5">
      <c r="A1131" s="12" t="s">
        <v>2696</v>
      </c>
      <c r="B1131" s="11" t="s">
        <v>2695</v>
      </c>
      <c r="C1131" s="3" t="s">
        <v>2697</v>
      </c>
    </row>
    <row r="1132" spans="1:5">
      <c r="A1132" s="12" t="s">
        <v>482</v>
      </c>
      <c r="B1132" s="11" t="s">
        <v>481</v>
      </c>
      <c r="C1132" s="3" t="s">
        <v>480</v>
      </c>
    </row>
    <row r="1133" spans="1:5">
      <c r="A1133" s="12" t="s">
        <v>2700</v>
      </c>
      <c r="B1133" s="11" t="s">
        <v>2699</v>
      </c>
      <c r="C1133" s="3" t="s">
        <v>2698</v>
      </c>
    </row>
    <row r="1134" spans="1:5">
      <c r="A1134" s="12" t="s">
        <v>2703</v>
      </c>
      <c r="B1134" s="11" t="s">
        <v>2702</v>
      </c>
      <c r="C1134" s="3" t="s">
        <v>2701</v>
      </c>
    </row>
    <row r="1135" spans="1:5">
      <c r="A1135" s="12" t="s">
        <v>450</v>
      </c>
      <c r="B1135" s="11" t="s">
        <v>449</v>
      </c>
      <c r="C1135" s="3" t="s">
        <v>448</v>
      </c>
    </row>
    <row r="1136" spans="1:5">
      <c r="A1136" s="12" t="s">
        <v>2706</v>
      </c>
      <c r="B1136" s="11" t="s">
        <v>2705</v>
      </c>
      <c r="C1136" s="3" t="s">
        <v>2704</v>
      </c>
    </row>
    <row r="1137" spans="1:5">
      <c r="A1137" s="12" t="s">
        <v>878</v>
      </c>
      <c r="B1137" s="11" t="s">
        <v>1189</v>
      </c>
      <c r="C1137" s="3" t="s">
        <v>876</v>
      </c>
    </row>
    <row r="1138" spans="1:5">
      <c r="A1138" s="12" t="s">
        <v>2694</v>
      </c>
      <c r="B1138" s="11" t="s">
        <v>2693</v>
      </c>
      <c r="C1138" s="3" t="s">
        <v>2260</v>
      </c>
    </row>
    <row r="1139" spans="1:5">
      <c r="A1139" s="12" t="s">
        <v>2713</v>
      </c>
      <c r="B1139" s="11" t="s">
        <v>2712</v>
      </c>
      <c r="C1139" s="3" t="s">
        <v>1273</v>
      </c>
      <c r="E1139" s="3" t="s">
        <v>2711</v>
      </c>
    </row>
    <row r="1140" spans="1:5">
      <c r="A1140" s="12" t="s">
        <v>2708</v>
      </c>
      <c r="B1140" s="11" t="s">
        <v>2707</v>
      </c>
      <c r="C1140" s="3" t="s">
        <v>2709</v>
      </c>
    </row>
    <row r="1141" spans="1:5">
      <c r="A1141" s="12" t="s">
        <v>1123</v>
      </c>
      <c r="B1141" s="11" t="s">
        <v>1122</v>
      </c>
      <c r="C1141" s="3" t="s">
        <v>2710</v>
      </c>
    </row>
    <row r="1142" spans="1:5" ht="21">
      <c r="A1142" s="100">
        <v>42471</v>
      </c>
      <c r="B1142" s="100"/>
      <c r="C1142" s="100"/>
      <c r="D1142" s="100"/>
      <c r="E1142" s="100"/>
    </row>
    <row r="1143" spans="1:5">
      <c r="A1143" s="12" t="s">
        <v>2696</v>
      </c>
      <c r="B1143" s="11" t="s">
        <v>2695</v>
      </c>
      <c r="C1143" s="3" t="s">
        <v>1199</v>
      </c>
    </row>
    <row r="1144" spans="1:5">
      <c r="A1144" s="12" t="s">
        <v>646</v>
      </c>
      <c r="B1144" s="11" t="s">
        <v>645</v>
      </c>
      <c r="C1144" s="3" t="s">
        <v>644</v>
      </c>
      <c r="D1144" s="3" t="s">
        <v>643</v>
      </c>
      <c r="E1144" s="3" t="s">
        <v>1125</v>
      </c>
    </row>
    <row r="1145" spans="1:5">
      <c r="A1145" s="12" t="s">
        <v>2716</v>
      </c>
      <c r="B1145" s="11" t="s">
        <v>2715</v>
      </c>
      <c r="C1145" s="3" t="s">
        <v>2714</v>
      </c>
    </row>
    <row r="1146" spans="1:5">
      <c r="A1146" s="12" t="s">
        <v>2719</v>
      </c>
      <c r="B1146" s="11" t="s">
        <v>2718</v>
      </c>
      <c r="C1146" s="3" t="s">
        <v>2717</v>
      </c>
      <c r="E1146" s="3" t="s">
        <v>2720</v>
      </c>
    </row>
    <row r="1147" spans="1:5">
      <c r="A1147" s="12" t="s">
        <v>2520</v>
      </c>
      <c r="B1147" s="11" t="s">
        <v>2519</v>
      </c>
      <c r="C1147" s="3" t="s">
        <v>2521</v>
      </c>
    </row>
    <row r="1148" spans="1:5">
      <c r="A1148" s="12" t="s">
        <v>2722</v>
      </c>
      <c r="B1148" s="11" t="s">
        <v>2721</v>
      </c>
      <c r="C1148" s="3" t="s">
        <v>2723</v>
      </c>
    </row>
    <row r="1149" spans="1:5">
      <c r="A1149" s="12" t="s">
        <v>2726</v>
      </c>
      <c r="B1149" s="11" t="s">
        <v>2725</v>
      </c>
      <c r="C1149" s="3" t="s">
        <v>2724</v>
      </c>
    </row>
    <row r="1150" spans="1:5">
      <c r="A1150" s="12" t="s">
        <v>2728</v>
      </c>
      <c r="B1150" s="11" t="s">
        <v>2727</v>
      </c>
      <c r="C1150" s="3" t="s">
        <v>2729</v>
      </c>
    </row>
    <row r="1151" spans="1:5">
      <c r="A1151" s="12" t="s">
        <v>2735</v>
      </c>
      <c r="B1151" s="11" t="s">
        <v>2734</v>
      </c>
      <c r="C1151" s="3" t="s">
        <v>2732</v>
      </c>
      <c r="E1151" s="3" t="s">
        <v>2733</v>
      </c>
    </row>
    <row r="1152" spans="1:5">
      <c r="A1152" s="12" t="s">
        <v>2738</v>
      </c>
      <c r="B1152" s="11" t="s">
        <v>2737</v>
      </c>
      <c r="C1152" s="3" t="s">
        <v>2736</v>
      </c>
    </row>
    <row r="1153" spans="1:5">
      <c r="A1153" s="12" t="s">
        <v>2731</v>
      </c>
      <c r="B1153" s="11" t="s">
        <v>2730</v>
      </c>
      <c r="C1153" s="3" t="s">
        <v>736</v>
      </c>
      <c r="E1153" s="3" t="s">
        <v>739</v>
      </c>
    </row>
    <row r="1154" spans="1:5">
      <c r="A1154" s="12" t="s">
        <v>2735</v>
      </c>
      <c r="B1154" s="11" t="s">
        <v>2734</v>
      </c>
      <c r="C1154" s="3" t="s">
        <v>2118</v>
      </c>
    </row>
    <row r="1155" spans="1:5">
      <c r="A1155" s="12" t="s">
        <v>2029</v>
      </c>
      <c r="B1155" s="11" t="s">
        <v>2028</v>
      </c>
      <c r="C1155" s="3" t="s">
        <v>1872</v>
      </c>
    </row>
    <row r="1156" spans="1:5">
      <c r="A1156" s="12" t="s">
        <v>585</v>
      </c>
      <c r="B1156" s="11" t="s">
        <v>584</v>
      </c>
      <c r="C1156" s="3" t="s">
        <v>2739</v>
      </c>
    </row>
    <row r="1157" spans="1:5" ht="21">
      <c r="A1157" s="100">
        <v>42472</v>
      </c>
      <c r="B1157" s="100"/>
      <c r="C1157" s="100"/>
      <c r="D1157" s="100"/>
      <c r="E1157" s="100"/>
    </row>
    <row r="1158" spans="1:5">
      <c r="A1158" s="12" t="s">
        <v>2696</v>
      </c>
      <c r="B1158" s="11" t="s">
        <v>2740</v>
      </c>
      <c r="C1158" s="3" t="s">
        <v>2697</v>
      </c>
      <c r="D1158" s="3" t="s">
        <v>643</v>
      </c>
      <c r="E1158" s="3" t="s">
        <v>1125</v>
      </c>
    </row>
    <row r="1159" spans="1:5">
      <c r="A1159" s="12" t="s">
        <v>2743</v>
      </c>
      <c r="B1159" s="11" t="s">
        <v>2742</v>
      </c>
      <c r="C1159" s="3" t="s">
        <v>2741</v>
      </c>
      <c r="E1159" s="3" t="s">
        <v>2745</v>
      </c>
    </row>
    <row r="1160" spans="1:5">
      <c r="A1160" s="12" t="s">
        <v>2743</v>
      </c>
      <c r="B1160" s="11" t="s">
        <v>2742</v>
      </c>
      <c r="C1160" s="3" t="s">
        <v>2744</v>
      </c>
    </row>
    <row r="1161" spans="1:5">
      <c r="A1161" s="12" t="s">
        <v>2748</v>
      </c>
      <c r="B1161" s="11" t="s">
        <v>2747</v>
      </c>
      <c r="C1161" s="3" t="s">
        <v>2746</v>
      </c>
    </row>
    <row r="1162" spans="1:5">
      <c r="A1162" s="12" t="s">
        <v>2753</v>
      </c>
      <c r="B1162" s="11" t="s">
        <v>2752</v>
      </c>
      <c r="C1162" s="3" t="s">
        <v>2751</v>
      </c>
    </row>
    <row r="1163" spans="1:5">
      <c r="A1163" s="12" t="s">
        <v>2464</v>
      </c>
      <c r="B1163" s="11" t="s">
        <v>2463</v>
      </c>
      <c r="C1163" s="3" t="s">
        <v>2465</v>
      </c>
    </row>
    <row r="1164" spans="1:5">
      <c r="A1164" s="12" t="s">
        <v>2756</v>
      </c>
      <c r="B1164" s="11" t="s">
        <v>2755</v>
      </c>
      <c r="C1164" s="3" t="s">
        <v>2754</v>
      </c>
    </row>
    <row r="1165" spans="1:5">
      <c r="C1165" s="3" t="s">
        <v>2749</v>
      </c>
      <c r="E1165" s="3" t="s">
        <v>2750</v>
      </c>
    </row>
    <row r="1166" spans="1:5">
      <c r="A1166" s="12" t="s">
        <v>585</v>
      </c>
      <c r="B1166" s="11" t="s">
        <v>584</v>
      </c>
      <c r="C1166" s="3" t="s">
        <v>2739</v>
      </c>
    </row>
    <row r="1167" spans="1:5">
      <c r="A1167" s="12" t="s">
        <v>491</v>
      </c>
      <c r="B1167" s="11" t="s">
        <v>490</v>
      </c>
      <c r="C1167" s="3" t="s">
        <v>489</v>
      </c>
    </row>
    <row r="1168" spans="1:5">
      <c r="A1168" s="12" t="s">
        <v>2759</v>
      </c>
      <c r="B1168" s="11" t="s">
        <v>2758</v>
      </c>
      <c r="C1168" s="3" t="s">
        <v>2757</v>
      </c>
    </row>
    <row r="1169" spans="1:5">
      <c r="A1169" s="12" t="s">
        <v>630</v>
      </c>
      <c r="B1169" s="11" t="s">
        <v>629</v>
      </c>
      <c r="C1169" s="3" t="s">
        <v>1823</v>
      </c>
    </row>
    <row r="1170" spans="1:5">
      <c r="A1170" s="12" t="s">
        <v>2446</v>
      </c>
      <c r="B1170" s="11" t="s">
        <v>2445</v>
      </c>
      <c r="C1170" s="3" t="s">
        <v>2444</v>
      </c>
    </row>
    <row r="1171" spans="1:5" ht="21">
      <c r="A1171" s="100">
        <v>42473</v>
      </c>
      <c r="B1171" s="100"/>
      <c r="C1171" s="100"/>
      <c r="D1171" s="100"/>
      <c r="E1171" s="100"/>
    </row>
    <row r="1172" spans="1:5">
      <c r="A1172" s="12" t="s">
        <v>2762</v>
      </c>
      <c r="B1172" s="11" t="s">
        <v>2761</v>
      </c>
      <c r="C1172" s="3" t="s">
        <v>2760</v>
      </c>
    </row>
    <row r="1173" spans="1:5">
      <c r="A1173" s="12" t="s">
        <v>491</v>
      </c>
      <c r="B1173" s="11" t="s">
        <v>490</v>
      </c>
      <c r="C1173" s="3" t="s">
        <v>489</v>
      </c>
    </row>
    <row r="1174" spans="1:5">
      <c r="A1174" s="12" t="s">
        <v>2765</v>
      </c>
      <c r="B1174" s="11" t="s">
        <v>2764</v>
      </c>
      <c r="C1174" s="3" t="s">
        <v>2763</v>
      </c>
    </row>
    <row r="1175" spans="1:5">
      <c r="A1175" s="12" t="s">
        <v>2109</v>
      </c>
      <c r="B1175" s="11" t="s">
        <v>2108</v>
      </c>
      <c r="C1175" s="3" t="s">
        <v>2107</v>
      </c>
    </row>
    <row r="1176" spans="1:5">
      <c r="A1176" s="12" t="s">
        <v>684</v>
      </c>
      <c r="B1176" s="11" t="s">
        <v>683</v>
      </c>
      <c r="C1176" s="3" t="s">
        <v>856</v>
      </c>
    </row>
    <row r="1177" spans="1:5">
      <c r="A1177" s="12" t="s">
        <v>1684</v>
      </c>
      <c r="B1177" s="11" t="s">
        <v>1683</v>
      </c>
      <c r="C1177" s="3" t="s">
        <v>1682</v>
      </c>
    </row>
    <row r="1178" spans="1:5">
      <c r="A1178" s="12" t="s">
        <v>2768</v>
      </c>
      <c r="B1178" s="11" t="s">
        <v>2767</v>
      </c>
      <c r="C1178" s="3" t="s">
        <v>2766</v>
      </c>
    </row>
    <row r="1179" spans="1:5">
      <c r="A1179" s="12" t="s">
        <v>2770</v>
      </c>
      <c r="B1179" s="11" t="s">
        <v>2769</v>
      </c>
      <c r="C1179" s="3" t="s">
        <v>2771</v>
      </c>
    </row>
    <row r="1180" spans="1:5">
      <c r="A1180" s="12" t="s">
        <v>2774</v>
      </c>
      <c r="B1180" s="11" t="s">
        <v>2773</v>
      </c>
      <c r="C1180" s="3" t="s">
        <v>2772</v>
      </c>
    </row>
    <row r="1181" spans="1:5">
      <c r="A1181" s="12" t="s">
        <v>1908</v>
      </c>
      <c r="B1181" s="11" t="s">
        <v>1907</v>
      </c>
      <c r="C1181" s="3" t="s">
        <v>1906</v>
      </c>
    </row>
    <row r="1182" spans="1:5">
      <c r="A1182" s="12" t="s">
        <v>1042</v>
      </c>
      <c r="B1182" s="11" t="s">
        <v>1041</v>
      </c>
      <c r="C1182" s="3" t="s">
        <v>1040</v>
      </c>
    </row>
    <row r="1183" spans="1:5">
      <c r="A1183" s="12" t="s">
        <v>2777</v>
      </c>
      <c r="B1183" s="11" t="s">
        <v>2776</v>
      </c>
      <c r="C1183" s="3" t="s">
        <v>2775</v>
      </c>
    </row>
    <row r="1184" spans="1:5">
      <c r="A1184" s="12" t="s">
        <v>2780</v>
      </c>
      <c r="B1184" s="11" t="s">
        <v>2779</v>
      </c>
      <c r="C1184" s="3" t="s">
        <v>2778</v>
      </c>
    </row>
    <row r="1185" spans="1:5">
      <c r="A1185" s="12" t="s">
        <v>2753</v>
      </c>
      <c r="B1185" s="11" t="s">
        <v>2781</v>
      </c>
      <c r="C1185" s="3" t="s">
        <v>2751</v>
      </c>
    </row>
    <row r="1186" spans="1:5">
      <c r="A1186" s="12" t="s">
        <v>1188</v>
      </c>
      <c r="B1186" s="11" t="s">
        <v>2783</v>
      </c>
      <c r="C1186" s="3" t="s">
        <v>2782</v>
      </c>
    </row>
    <row r="1187" spans="1:5">
      <c r="A1187" s="12" t="s">
        <v>2095</v>
      </c>
      <c r="B1187" s="11" t="s">
        <v>2094</v>
      </c>
      <c r="C1187" s="3" t="s">
        <v>850</v>
      </c>
    </row>
    <row r="1188" spans="1:5" ht="21">
      <c r="A1188" s="100">
        <v>42474</v>
      </c>
      <c r="B1188" s="100"/>
      <c r="C1188" s="100"/>
      <c r="D1188" s="100"/>
      <c r="E1188" s="100"/>
    </row>
    <row r="1189" spans="1:5">
      <c r="A1189" s="12" t="s">
        <v>1701</v>
      </c>
      <c r="B1189" s="11" t="s">
        <v>18</v>
      </c>
      <c r="C1189" s="3" t="s">
        <v>1827</v>
      </c>
      <c r="E1189" s="4" t="s">
        <v>2784</v>
      </c>
    </row>
    <row r="1190" spans="1:5">
      <c r="A1190" s="12" t="s">
        <v>1701</v>
      </c>
      <c r="B1190" s="11" t="s">
        <v>18</v>
      </c>
      <c r="C1190" s="3" t="s">
        <v>706</v>
      </c>
    </row>
    <row r="1191" spans="1:5">
      <c r="A1191" s="12" t="s">
        <v>987</v>
      </c>
      <c r="B1191" s="11" t="s">
        <v>986</v>
      </c>
      <c r="C1191" s="3" t="s">
        <v>985</v>
      </c>
    </row>
    <row r="1192" spans="1:5">
      <c r="A1192" s="12" t="s">
        <v>2787</v>
      </c>
      <c r="B1192" s="11" t="s">
        <v>2786</v>
      </c>
      <c r="C1192" s="3" t="s">
        <v>2785</v>
      </c>
    </row>
    <row r="1193" spans="1:5">
      <c r="A1193" s="12" t="s">
        <v>497</v>
      </c>
      <c r="B1193" s="11" t="s">
        <v>2789</v>
      </c>
      <c r="C1193" s="3" t="s">
        <v>2788</v>
      </c>
    </row>
    <row r="1194" spans="1:5">
      <c r="A1194" s="12" t="s">
        <v>2731</v>
      </c>
      <c r="B1194" s="11" t="s">
        <v>2730</v>
      </c>
      <c r="C1194" s="3" t="s">
        <v>736</v>
      </c>
    </row>
    <row r="1195" spans="1:5">
      <c r="A1195" s="12" t="s">
        <v>2413</v>
      </c>
      <c r="B1195" s="11" t="s">
        <v>2412</v>
      </c>
      <c r="C1195" s="3" t="s">
        <v>2790</v>
      </c>
    </row>
    <row r="1196" spans="1:5">
      <c r="A1196" s="12" t="s">
        <v>646</v>
      </c>
      <c r="B1196" s="11" t="s">
        <v>645</v>
      </c>
      <c r="C1196" s="3" t="s">
        <v>644</v>
      </c>
      <c r="D1196" s="3" t="s">
        <v>643</v>
      </c>
      <c r="E1196" s="3" t="s">
        <v>2791</v>
      </c>
    </row>
    <row r="1197" spans="1:5">
      <c r="A1197" s="12" t="s">
        <v>2794</v>
      </c>
      <c r="B1197" s="11" t="s">
        <v>2793</v>
      </c>
      <c r="C1197" s="3" t="s">
        <v>2792</v>
      </c>
    </row>
    <row r="1198" spans="1:5">
      <c r="A1198" s="12" t="s">
        <v>2796</v>
      </c>
      <c r="B1198" s="11" t="s">
        <v>2795</v>
      </c>
      <c r="C1198" s="3" t="s">
        <v>2797</v>
      </c>
    </row>
    <row r="1199" spans="1:5">
      <c r="A1199" s="12" t="s">
        <v>2800</v>
      </c>
      <c r="B1199" s="11" t="s">
        <v>2799</v>
      </c>
      <c r="C1199" s="3" t="s">
        <v>2798</v>
      </c>
    </row>
    <row r="1200" spans="1:5">
      <c r="A1200" s="12" t="s">
        <v>2000</v>
      </c>
      <c r="B1200" s="11" t="s">
        <v>1999</v>
      </c>
      <c r="C1200" s="3" t="s">
        <v>1998</v>
      </c>
    </row>
    <row r="1201" spans="1:5">
      <c r="A1201" s="12" t="s">
        <v>2804</v>
      </c>
      <c r="B1201" s="11" t="s">
        <v>2803</v>
      </c>
      <c r="C1201" s="3" t="s">
        <v>2801</v>
      </c>
      <c r="E1201" s="3" t="s">
        <v>2802</v>
      </c>
    </row>
    <row r="1202" spans="1:5" ht="21">
      <c r="A1202" s="100">
        <v>42478</v>
      </c>
      <c r="B1202" s="100"/>
      <c r="C1202" s="100"/>
      <c r="D1202" s="100"/>
      <c r="E1202" s="100"/>
    </row>
    <row r="1203" spans="1:5">
      <c r="A1203" s="12" t="s">
        <v>2806</v>
      </c>
      <c r="B1203" s="11" t="s">
        <v>2805</v>
      </c>
      <c r="C1203" s="3" t="s">
        <v>832</v>
      </c>
    </row>
    <row r="1204" spans="1:5">
      <c r="A1204" s="12" t="s">
        <v>2809</v>
      </c>
      <c r="B1204" s="11" t="s">
        <v>2808</v>
      </c>
      <c r="C1204" s="3" t="s">
        <v>2807</v>
      </c>
    </row>
    <row r="1205" spans="1:5">
      <c r="A1205" s="12" t="s">
        <v>1643</v>
      </c>
      <c r="B1205" s="11" t="s">
        <v>2811</v>
      </c>
      <c r="C1205" s="3" t="s">
        <v>2810</v>
      </c>
    </row>
    <row r="1206" spans="1:5">
      <c r="A1206" s="12" t="s">
        <v>1593</v>
      </c>
      <c r="B1206" s="11" t="s">
        <v>1592</v>
      </c>
      <c r="C1206" s="3" t="s">
        <v>2293</v>
      </c>
    </row>
    <row r="1207" spans="1:5">
      <c r="A1207" s="12" t="s">
        <v>2531</v>
      </c>
      <c r="B1207" s="11" t="s">
        <v>2530</v>
      </c>
      <c r="C1207" s="3" t="s">
        <v>1827</v>
      </c>
    </row>
    <row r="1208" spans="1:5">
      <c r="A1208" s="12" t="s">
        <v>1286</v>
      </c>
      <c r="B1208" s="11" t="s">
        <v>1285</v>
      </c>
      <c r="C1208" s="3" t="s">
        <v>1284</v>
      </c>
    </row>
    <row r="1209" spans="1:5">
      <c r="A1209" s="12" t="s">
        <v>2531</v>
      </c>
      <c r="B1209" s="11" t="s">
        <v>2530</v>
      </c>
      <c r="C1209" s="3" t="s">
        <v>1827</v>
      </c>
    </row>
    <row r="1210" spans="1:5" ht="21">
      <c r="A1210" s="100">
        <v>42479</v>
      </c>
      <c r="B1210" s="100"/>
      <c r="C1210" s="100"/>
      <c r="D1210" s="100"/>
      <c r="E1210" s="100"/>
    </row>
    <row r="1211" spans="1:5">
      <c r="A1211" s="12" t="s">
        <v>2814</v>
      </c>
      <c r="B1211" s="96" t="s">
        <v>2813</v>
      </c>
      <c r="C1211" s="3" t="s">
        <v>1458</v>
      </c>
    </row>
    <row r="1212" spans="1:5">
      <c r="A1212" s="12" t="s">
        <v>1131</v>
      </c>
      <c r="B1212" s="11" t="s">
        <v>1130</v>
      </c>
      <c r="C1212" s="3" t="s">
        <v>2812</v>
      </c>
    </row>
    <row r="1213" spans="1:5">
      <c r="A1213" s="12" t="s">
        <v>2814</v>
      </c>
      <c r="B1213" s="11" t="s">
        <v>2813</v>
      </c>
      <c r="C1213" s="3" t="s">
        <v>2815</v>
      </c>
    </row>
    <row r="1214" spans="1:5">
      <c r="A1214" s="12" t="s">
        <v>2818</v>
      </c>
      <c r="B1214" s="11" t="s">
        <v>2817</v>
      </c>
      <c r="C1214" s="3" t="s">
        <v>2816</v>
      </c>
    </row>
    <row r="1215" spans="1:5">
      <c r="A1215" s="12" t="s">
        <v>2636</v>
      </c>
      <c r="B1215" s="11" t="s">
        <v>2820</v>
      </c>
      <c r="C1215" s="3" t="s">
        <v>2819</v>
      </c>
    </row>
    <row r="1216" spans="1:5">
      <c r="A1216" s="12" t="s">
        <v>2416</v>
      </c>
      <c r="B1216" s="11" t="s">
        <v>2415</v>
      </c>
      <c r="C1216" s="3" t="s">
        <v>2414</v>
      </c>
      <c r="E1216" s="3" t="s">
        <v>2821</v>
      </c>
    </row>
    <row r="1217" spans="1:5">
      <c r="A1217" s="12" t="s">
        <v>2063</v>
      </c>
      <c r="B1217" s="11" t="s">
        <v>2062</v>
      </c>
      <c r="C1217" s="97" t="s">
        <v>2061</v>
      </c>
      <c r="E1217" s="3" t="s">
        <v>2821</v>
      </c>
    </row>
    <row r="1218" spans="1:5">
      <c r="A1218" s="12" t="s">
        <v>1886</v>
      </c>
      <c r="B1218" s="11" t="s">
        <v>1885</v>
      </c>
      <c r="C1218" s="3" t="s">
        <v>2822</v>
      </c>
    </row>
    <row r="1219" spans="1:5">
      <c r="A1219" s="12" t="s">
        <v>660</v>
      </c>
      <c r="B1219" s="11" t="s">
        <v>659</v>
      </c>
      <c r="C1219" s="3" t="s">
        <v>1993</v>
      </c>
      <c r="E1219" s="98" t="s">
        <v>2823</v>
      </c>
    </row>
    <row r="1220" spans="1:5">
      <c r="A1220" s="12" t="s">
        <v>2645</v>
      </c>
      <c r="B1220" s="11" t="s">
        <v>2644</v>
      </c>
      <c r="C1220" s="3" t="s">
        <v>2643</v>
      </c>
      <c r="E1220" s="3" t="s">
        <v>2824</v>
      </c>
    </row>
    <row r="1221" spans="1:5">
      <c r="A1221" s="12" t="s">
        <v>2827</v>
      </c>
      <c r="B1221" s="11" t="s">
        <v>2826</v>
      </c>
      <c r="C1221" s="3" t="s">
        <v>2825</v>
      </c>
    </row>
    <row r="1222" spans="1:5">
      <c r="A1222" s="12" t="s">
        <v>2830</v>
      </c>
      <c r="B1222" s="11" t="s">
        <v>2829</v>
      </c>
      <c r="C1222" s="3" t="s">
        <v>2828</v>
      </c>
    </row>
    <row r="1223" spans="1:5">
      <c r="A1223" s="12" t="s">
        <v>2832</v>
      </c>
      <c r="B1223" s="11" t="s">
        <v>2831</v>
      </c>
      <c r="C1223" s="3" t="s">
        <v>1629</v>
      </c>
    </row>
    <row r="1224" spans="1:5">
      <c r="A1224" s="12" t="s">
        <v>1489</v>
      </c>
      <c r="B1224" s="11" t="s">
        <v>1488</v>
      </c>
      <c r="C1224" s="3" t="s">
        <v>2833</v>
      </c>
      <c r="E1224" s="3" t="s">
        <v>2834</v>
      </c>
    </row>
    <row r="1225" spans="1:5">
      <c r="A1225" s="12" t="s">
        <v>2595</v>
      </c>
      <c r="B1225" s="11" t="s">
        <v>2594</v>
      </c>
      <c r="C1225" s="3" t="s">
        <v>2593</v>
      </c>
    </row>
    <row r="1226" spans="1:5">
      <c r="A1226" s="12" t="s">
        <v>2836</v>
      </c>
      <c r="B1226" s="11" t="s">
        <v>2835</v>
      </c>
      <c r="C1226" s="3" t="s">
        <v>2837</v>
      </c>
    </row>
    <row r="1227" spans="1:5" ht="21">
      <c r="A1227" s="100">
        <v>42480</v>
      </c>
      <c r="B1227" s="100"/>
      <c r="C1227" s="100"/>
      <c r="D1227" s="100"/>
      <c r="E1227" s="100"/>
    </row>
    <row r="1228" spans="1:5">
      <c r="A1228" s="12" t="s">
        <v>2839</v>
      </c>
      <c r="B1228" s="11" t="s">
        <v>2838</v>
      </c>
      <c r="C1228" s="3" t="s">
        <v>2677</v>
      </c>
    </row>
    <row r="1229" spans="1:5">
      <c r="A1229" s="12" t="s">
        <v>1226</v>
      </c>
      <c r="B1229" s="11" t="s">
        <v>1225</v>
      </c>
      <c r="C1229" s="3" t="s">
        <v>2434</v>
      </c>
    </row>
    <row r="1230" spans="1:5">
      <c r="A1230" s="12" t="s">
        <v>2556</v>
      </c>
      <c r="B1230" s="11" t="s">
        <v>2555</v>
      </c>
      <c r="C1230" s="3" t="s">
        <v>1501</v>
      </c>
    </row>
    <row r="1231" spans="1:5">
      <c r="A1231" s="12" t="s">
        <v>2842</v>
      </c>
      <c r="B1231" s="11" t="s">
        <v>2841</v>
      </c>
      <c r="C1231" s="3" t="s">
        <v>2840</v>
      </c>
    </row>
    <row r="1232" spans="1:5">
      <c r="A1232" s="12" t="s">
        <v>2614</v>
      </c>
      <c r="B1232" s="11" t="s">
        <v>2613</v>
      </c>
      <c r="C1232" s="3" t="s">
        <v>2450</v>
      </c>
    </row>
    <row r="1233" spans="1:5">
      <c r="A1233" s="12" t="s">
        <v>2845</v>
      </c>
      <c r="B1233" s="11" t="s">
        <v>2844</v>
      </c>
      <c r="C1233" s="3" t="s">
        <v>2843</v>
      </c>
    </row>
    <row r="1234" spans="1:5">
      <c r="A1234" s="12" t="s">
        <v>1819</v>
      </c>
      <c r="B1234" s="11" t="s">
        <v>1818</v>
      </c>
      <c r="C1234" s="3" t="s">
        <v>1820</v>
      </c>
    </row>
    <row r="1235" spans="1:5">
      <c r="A1235" s="12" t="s">
        <v>1214</v>
      </c>
      <c r="B1235" s="11" t="s">
        <v>2846</v>
      </c>
      <c r="C1235" s="3" t="s">
        <v>1212</v>
      </c>
    </row>
    <row r="1236" spans="1:5">
      <c r="A1236" s="12" t="s">
        <v>2849</v>
      </c>
      <c r="B1236" s="11" t="s">
        <v>2848</v>
      </c>
      <c r="C1236" s="3" t="s">
        <v>2847</v>
      </c>
    </row>
    <row r="1237" spans="1:5">
      <c r="A1237" s="12" t="s">
        <v>1035</v>
      </c>
      <c r="B1237" s="11" t="s">
        <v>1034</v>
      </c>
      <c r="C1237" s="3" t="s">
        <v>1008</v>
      </c>
    </row>
    <row r="1238" spans="1:5">
      <c r="A1238" s="12" t="s">
        <v>2268</v>
      </c>
      <c r="B1238" s="11" t="s">
        <v>2267</v>
      </c>
      <c r="C1238" s="3" t="s">
        <v>2266</v>
      </c>
    </row>
    <row r="1239" spans="1:5">
      <c r="A1239" s="12" t="s">
        <v>2617</v>
      </c>
      <c r="B1239" s="11" t="s">
        <v>2616</v>
      </c>
      <c r="C1239" s="3" t="s">
        <v>2618</v>
      </c>
    </row>
    <row r="1240" spans="1:5">
      <c r="A1240" s="12" t="s">
        <v>2851</v>
      </c>
      <c r="B1240" s="11" t="s">
        <v>2850</v>
      </c>
      <c r="C1240" s="3" t="s">
        <v>2153</v>
      </c>
    </row>
    <row r="1241" spans="1:5" ht="21">
      <c r="A1241" s="100">
        <v>42481</v>
      </c>
      <c r="B1241" s="100"/>
      <c r="C1241" s="100"/>
      <c r="D1241" s="100"/>
      <c r="E1241" s="100"/>
    </row>
    <row r="1242" spans="1:5">
      <c r="A1242" s="12" t="s">
        <v>2853</v>
      </c>
      <c r="B1242" s="11" t="s">
        <v>2852</v>
      </c>
      <c r="C1242" s="3" t="s">
        <v>2854</v>
      </c>
    </row>
    <row r="1243" spans="1:5">
      <c r="A1243" s="12" t="s">
        <v>646</v>
      </c>
      <c r="B1243" s="11" t="s">
        <v>645</v>
      </c>
      <c r="C1243" s="3" t="s">
        <v>644</v>
      </c>
      <c r="D1243" s="3" t="s">
        <v>643</v>
      </c>
      <c r="E1243" s="3" t="s">
        <v>2855</v>
      </c>
    </row>
    <row r="1244" spans="1:5">
      <c r="A1244" s="12" t="s">
        <v>2413</v>
      </c>
      <c r="B1244" s="11" t="s">
        <v>2412</v>
      </c>
      <c r="C1244" s="3" t="s">
        <v>2790</v>
      </c>
    </row>
    <row r="1245" spans="1:5">
      <c r="A1245" s="12" t="s">
        <v>1871</v>
      </c>
      <c r="B1245" s="11" t="s">
        <v>1870</v>
      </c>
      <c r="C1245" s="3" t="s">
        <v>1869</v>
      </c>
    </row>
    <row r="1246" spans="1:5">
      <c r="A1246" s="12" t="s">
        <v>2859</v>
      </c>
      <c r="B1246" s="11" t="s">
        <v>2858</v>
      </c>
      <c r="C1246" s="3" t="s">
        <v>2856</v>
      </c>
      <c r="E1246" s="3" t="s">
        <v>2857</v>
      </c>
    </row>
    <row r="1247" spans="1:5">
      <c r="A1247" s="12" t="s">
        <v>1039</v>
      </c>
      <c r="B1247" s="11" t="s">
        <v>1038</v>
      </c>
      <c r="C1247" s="3" t="s">
        <v>1037</v>
      </c>
    </row>
    <row r="1248" spans="1:5">
      <c r="A1248" s="12" t="s">
        <v>2862</v>
      </c>
      <c r="B1248" s="11" t="s">
        <v>2861</v>
      </c>
      <c r="C1248" s="3" t="s">
        <v>2860</v>
      </c>
    </row>
    <row r="1249" spans="1:5">
      <c r="A1249" s="12" t="s">
        <v>2868</v>
      </c>
      <c r="B1249" s="11" t="s">
        <v>2867</v>
      </c>
      <c r="C1249" s="3" t="s">
        <v>468</v>
      </c>
      <c r="E1249" s="3" t="s">
        <v>2869</v>
      </c>
    </row>
    <row r="1250" spans="1:5" ht="21">
      <c r="A1250" s="100">
        <v>42484</v>
      </c>
      <c r="B1250" s="100"/>
      <c r="C1250" s="100"/>
      <c r="D1250" s="100"/>
      <c r="E1250" s="100"/>
    </row>
    <row r="1251" spans="1:5">
      <c r="A1251" s="12" t="s">
        <v>2872</v>
      </c>
      <c r="B1251" s="11" t="s">
        <v>2871</v>
      </c>
      <c r="C1251" s="3" t="s">
        <v>2870</v>
      </c>
    </row>
    <row r="1252" spans="1:5">
      <c r="A1252" s="12" t="s">
        <v>2411</v>
      </c>
      <c r="B1252" s="11" t="s">
        <v>2410</v>
      </c>
      <c r="C1252" s="3" t="s">
        <v>2409</v>
      </c>
    </row>
    <row r="1253" spans="1:5" ht="21">
      <c r="A1253" s="100">
        <v>42485</v>
      </c>
      <c r="B1253" s="100"/>
      <c r="C1253" s="100"/>
      <c r="D1253" s="100"/>
      <c r="E1253" s="100"/>
    </row>
    <row r="1254" spans="1:5">
      <c r="A1254" s="12" t="s">
        <v>2875</v>
      </c>
      <c r="B1254" s="11" t="s">
        <v>2874</v>
      </c>
      <c r="C1254" s="3" t="s">
        <v>2873</v>
      </c>
    </row>
    <row r="1255" spans="1:5">
      <c r="A1255" s="12" t="s">
        <v>2875</v>
      </c>
      <c r="B1255" s="11" t="s">
        <v>2874</v>
      </c>
      <c r="C1255" s="3" t="s">
        <v>1321</v>
      </c>
    </row>
    <row r="1256" spans="1:5">
      <c r="A1256" s="12" t="s">
        <v>2878</v>
      </c>
      <c r="B1256" s="11" t="s">
        <v>2877</v>
      </c>
      <c r="C1256" s="3" t="s">
        <v>2876</v>
      </c>
    </row>
    <row r="1257" spans="1:5">
      <c r="A1257" s="12" t="s">
        <v>1161</v>
      </c>
      <c r="B1257" s="11" t="s">
        <v>1160</v>
      </c>
      <c r="C1257" s="3" t="s">
        <v>1159</v>
      </c>
    </row>
    <row r="1258" spans="1:5">
      <c r="A1258" s="12" t="s">
        <v>788</v>
      </c>
      <c r="B1258" s="11" t="s">
        <v>787</v>
      </c>
      <c r="C1258" s="3" t="s">
        <v>786</v>
      </c>
    </row>
    <row r="1259" spans="1:5">
      <c r="A1259" s="12" t="s">
        <v>2881</v>
      </c>
      <c r="B1259" s="11" t="s">
        <v>2880</v>
      </c>
      <c r="C1259" s="3" t="s">
        <v>2879</v>
      </c>
    </row>
    <row r="1260" spans="1:5">
      <c r="A1260" s="12" t="s">
        <v>2085</v>
      </c>
      <c r="B1260" s="11" t="s">
        <v>2084</v>
      </c>
      <c r="C1260" s="3" t="s">
        <v>2039</v>
      </c>
    </row>
    <row r="1261" spans="1:5">
      <c r="A1261" s="12" t="s">
        <v>2884</v>
      </c>
      <c r="B1261" s="11" t="s">
        <v>2883</v>
      </c>
      <c r="C1261" s="3" t="s">
        <v>2882</v>
      </c>
    </row>
    <row r="1262" spans="1:5">
      <c r="A1262" s="12" t="s">
        <v>2886</v>
      </c>
      <c r="B1262" s="11" t="s">
        <v>2885</v>
      </c>
      <c r="C1262" s="3" t="s">
        <v>1224</v>
      </c>
    </row>
    <row r="1263" spans="1:5">
      <c r="A1263" s="12" t="s">
        <v>630</v>
      </c>
      <c r="B1263" s="96" t="s">
        <v>2887</v>
      </c>
      <c r="C1263" s="3" t="s">
        <v>1823</v>
      </c>
      <c r="E1263" s="3" t="s">
        <v>2888</v>
      </c>
    </row>
    <row r="1264" spans="1:5">
      <c r="A1264" s="12" t="s">
        <v>2827</v>
      </c>
      <c r="B1264" s="11" t="s">
        <v>2826</v>
      </c>
      <c r="C1264" s="3" t="s">
        <v>2825</v>
      </c>
    </row>
    <row r="1265" spans="1:5">
      <c r="A1265" s="12" t="s">
        <v>2890</v>
      </c>
      <c r="B1265" s="11" t="s">
        <v>2889</v>
      </c>
      <c r="C1265" s="3" t="s">
        <v>637</v>
      </c>
    </row>
    <row r="1266" spans="1:5">
      <c r="A1266" s="12" t="s">
        <v>2894</v>
      </c>
      <c r="B1266" s="11" t="s">
        <v>2893</v>
      </c>
      <c r="C1266" s="3" t="s">
        <v>2891</v>
      </c>
      <c r="E1266" s="12" t="s">
        <v>2892</v>
      </c>
    </row>
    <row r="1267" spans="1:5">
      <c r="A1267" s="12" t="s">
        <v>2897</v>
      </c>
      <c r="B1267" s="11" t="s">
        <v>2896</v>
      </c>
      <c r="C1267" s="3" t="s">
        <v>2895</v>
      </c>
    </row>
    <row r="1268" spans="1:5">
      <c r="A1268" s="12" t="s">
        <v>2900</v>
      </c>
      <c r="B1268" s="11" t="s">
        <v>2899</v>
      </c>
      <c r="C1268" s="3" t="s">
        <v>2898</v>
      </c>
      <c r="E1268" s="3" t="s">
        <v>2901</v>
      </c>
    </row>
    <row r="1269" spans="1:5" ht="21">
      <c r="A1269" s="100">
        <v>42486</v>
      </c>
      <c r="B1269" s="100"/>
      <c r="C1269" s="100"/>
      <c r="D1269" s="100"/>
      <c r="E1269" s="100"/>
    </row>
    <row r="1270" spans="1:5">
      <c r="A1270" s="12" t="s">
        <v>2430</v>
      </c>
      <c r="B1270" s="11" t="s">
        <v>2902</v>
      </c>
      <c r="C1270" s="3" t="s">
        <v>2429</v>
      </c>
      <c r="E1270" s="3" t="s">
        <v>2903</v>
      </c>
    </row>
    <row r="1271" spans="1:5">
      <c r="A1271" s="12" t="s">
        <v>2905</v>
      </c>
      <c r="B1271" s="11" t="s">
        <v>2904</v>
      </c>
      <c r="C1271" s="3" t="s">
        <v>2906</v>
      </c>
    </row>
    <row r="1272" spans="1:5">
      <c r="A1272" s="12" t="s">
        <v>2909</v>
      </c>
      <c r="B1272" s="11" t="s">
        <v>2908</v>
      </c>
      <c r="C1272" s="3" t="s">
        <v>2907</v>
      </c>
      <c r="E1272" s="3" t="s">
        <v>3014</v>
      </c>
    </row>
    <row r="1273" spans="1:5">
      <c r="A1273" s="12" t="s">
        <v>2446</v>
      </c>
      <c r="B1273" s="11" t="s">
        <v>2445</v>
      </c>
      <c r="C1273" s="3" t="s">
        <v>2444</v>
      </c>
      <c r="E1273" s="3" t="s">
        <v>3015</v>
      </c>
    </row>
    <row r="1274" spans="1:5">
      <c r="A1274" s="12" t="s">
        <v>2912</v>
      </c>
      <c r="B1274" s="11" t="s">
        <v>2911</v>
      </c>
      <c r="C1274" s="3" t="s">
        <v>2910</v>
      </c>
      <c r="E1274" s="3" t="s">
        <v>3016</v>
      </c>
    </row>
    <row r="1275" spans="1:5">
      <c r="A1275" s="12" t="s">
        <v>2914</v>
      </c>
      <c r="B1275" s="11" t="s">
        <v>2913</v>
      </c>
      <c r="C1275" s="3" t="s">
        <v>2915</v>
      </c>
      <c r="E1275" s="3" t="s">
        <v>3017</v>
      </c>
    </row>
    <row r="1276" spans="1:5">
      <c r="A1276" s="12" t="s">
        <v>2918</v>
      </c>
      <c r="B1276" s="11" t="s">
        <v>2917</v>
      </c>
      <c r="C1276" s="3" t="s">
        <v>2916</v>
      </c>
      <c r="E1276" s="3" t="s">
        <v>3018</v>
      </c>
    </row>
    <row r="1277" spans="1:5">
      <c r="A1277" s="12" t="s">
        <v>2921</v>
      </c>
      <c r="B1277" s="11" t="s">
        <v>2920</v>
      </c>
      <c r="C1277" s="3" t="s">
        <v>2919</v>
      </c>
      <c r="E1277" s="3" t="s">
        <v>3019</v>
      </c>
    </row>
    <row r="1278" spans="1:5">
      <c r="A1278" s="12" t="s">
        <v>2924</v>
      </c>
      <c r="B1278" s="11" t="s">
        <v>2923</v>
      </c>
      <c r="C1278" s="3" t="s">
        <v>2922</v>
      </c>
      <c r="E1278" s="3" t="s">
        <v>3020</v>
      </c>
    </row>
    <row r="1279" spans="1:5">
      <c r="A1279" s="12" t="s">
        <v>2926</v>
      </c>
      <c r="B1279" s="11" t="s">
        <v>2925</v>
      </c>
      <c r="C1279" s="3" t="s">
        <v>2927</v>
      </c>
    </row>
    <row r="1280" spans="1:5">
      <c r="A1280" s="12" t="s">
        <v>2681</v>
      </c>
      <c r="B1280" s="11" t="s">
        <v>2929</v>
      </c>
      <c r="C1280" s="3" t="s">
        <v>1616</v>
      </c>
      <c r="D1280" s="3" t="s">
        <v>2928</v>
      </c>
    </row>
    <row r="1281" spans="1:5">
      <c r="A1281" s="12" t="s">
        <v>1098</v>
      </c>
      <c r="B1281" s="11" t="s">
        <v>1097</v>
      </c>
      <c r="C1281" s="3" t="s">
        <v>1096</v>
      </c>
    </row>
    <row r="1282" spans="1:5">
      <c r="A1282" s="12" t="s">
        <v>1226</v>
      </c>
      <c r="B1282" s="11" t="s">
        <v>1225</v>
      </c>
      <c r="C1282" s="3" t="s">
        <v>2434</v>
      </c>
    </row>
    <row r="1283" spans="1:5">
      <c r="A1283" s="12" t="s">
        <v>2930</v>
      </c>
      <c r="B1283" s="11" t="s">
        <v>2931</v>
      </c>
      <c r="C1283" s="3" t="s">
        <v>1588</v>
      </c>
    </row>
    <row r="1284" spans="1:5">
      <c r="A1284" s="12" t="s">
        <v>2933</v>
      </c>
      <c r="B1284" s="11" t="s">
        <v>2932</v>
      </c>
      <c r="C1284" s="3" t="s">
        <v>2685</v>
      </c>
    </row>
    <row r="1285" spans="1:5" ht="21">
      <c r="A1285" s="100">
        <v>42487</v>
      </c>
      <c r="B1285" s="100"/>
      <c r="C1285" s="100"/>
      <c r="D1285" s="100"/>
      <c r="E1285" s="100"/>
    </row>
    <row r="1286" spans="1:5">
      <c r="A1286" s="12" t="s">
        <v>1756</v>
      </c>
      <c r="B1286" s="11" t="s">
        <v>1755</v>
      </c>
      <c r="C1286" s="3" t="s">
        <v>2934</v>
      </c>
    </row>
    <row r="1287" spans="1:5">
      <c r="A1287" s="12" t="s">
        <v>1326</v>
      </c>
      <c r="B1287" s="11" t="s">
        <v>1325</v>
      </c>
      <c r="C1287" s="3" t="s">
        <v>1324</v>
      </c>
    </row>
    <row r="1288" spans="1:5">
      <c r="A1288" s="12" t="s">
        <v>788</v>
      </c>
      <c r="B1288" s="11" t="s">
        <v>787</v>
      </c>
      <c r="C1288" s="3" t="s">
        <v>786</v>
      </c>
      <c r="E1288" s="3" t="s">
        <v>3002</v>
      </c>
    </row>
    <row r="1289" spans="1:5">
      <c r="A1289" s="12" t="s">
        <v>2937</v>
      </c>
      <c r="B1289" s="11" t="s">
        <v>2936</v>
      </c>
      <c r="C1289" s="3" t="s">
        <v>2935</v>
      </c>
      <c r="E1289" s="3" t="s">
        <v>3003</v>
      </c>
    </row>
    <row r="1290" spans="1:5">
      <c r="A1290" s="12" t="s">
        <v>1798</v>
      </c>
      <c r="B1290" s="11" t="s">
        <v>1797</v>
      </c>
      <c r="C1290" s="3" t="s">
        <v>1796</v>
      </c>
      <c r="E1290" s="3" t="s">
        <v>3004</v>
      </c>
    </row>
    <row r="1291" spans="1:5">
      <c r="A1291" s="12" t="s">
        <v>2498</v>
      </c>
      <c r="B1291" s="11" t="s">
        <v>2497</v>
      </c>
      <c r="C1291" s="3" t="s">
        <v>2938</v>
      </c>
    </row>
    <row r="1292" spans="1:5">
      <c r="A1292" s="12" t="s">
        <v>2942</v>
      </c>
      <c r="B1292" s="11" t="s">
        <v>2941</v>
      </c>
      <c r="C1292" s="3" t="s">
        <v>2940</v>
      </c>
      <c r="E1292" s="3" t="s">
        <v>3005</v>
      </c>
    </row>
    <row r="1293" spans="1:5">
      <c r="A1293" s="12" t="s">
        <v>1035</v>
      </c>
      <c r="B1293" s="11" t="s">
        <v>1034</v>
      </c>
      <c r="C1293" s="3" t="s">
        <v>2943</v>
      </c>
      <c r="E1293" s="3" t="s">
        <v>3006</v>
      </c>
    </row>
    <row r="1294" spans="1:5">
      <c r="A1294" s="12" t="s">
        <v>2946</v>
      </c>
      <c r="B1294" s="11" t="s">
        <v>2945</v>
      </c>
      <c r="C1294" s="3" t="s">
        <v>2944</v>
      </c>
      <c r="E1294" s="3" t="s">
        <v>3007</v>
      </c>
    </row>
    <row r="1295" spans="1:5">
      <c r="A1295" s="12" t="s">
        <v>497</v>
      </c>
      <c r="B1295" s="11" t="s">
        <v>2947</v>
      </c>
      <c r="C1295" s="3" t="s">
        <v>999</v>
      </c>
      <c r="E1295" s="3" t="s">
        <v>3008</v>
      </c>
    </row>
    <row r="1296" spans="1:5">
      <c r="A1296" s="12" t="s">
        <v>497</v>
      </c>
      <c r="B1296" s="11" t="s">
        <v>2302</v>
      </c>
      <c r="C1296" s="3" t="s">
        <v>2948</v>
      </c>
    </row>
    <row r="1297" spans="1:5" s="7" customFormat="1">
      <c r="A1297" s="85" t="s">
        <v>2950</v>
      </c>
      <c r="B1297" s="86" t="s">
        <v>2949</v>
      </c>
      <c r="C1297" s="87" t="s">
        <v>2939</v>
      </c>
      <c r="D1297" s="87"/>
      <c r="E1297" s="87" t="s">
        <v>2951</v>
      </c>
    </row>
    <row r="1298" spans="1:5" ht="21">
      <c r="A1298" s="100">
        <v>42488</v>
      </c>
      <c r="B1298" s="100"/>
      <c r="C1298" s="100"/>
      <c r="D1298" s="100"/>
      <c r="E1298" s="100"/>
    </row>
    <row r="1299" spans="1:5">
      <c r="A1299" s="12" t="s">
        <v>585</v>
      </c>
      <c r="B1299" s="11" t="s">
        <v>584</v>
      </c>
      <c r="C1299" s="3" t="s">
        <v>2739</v>
      </c>
    </row>
    <row r="1300" spans="1:5">
      <c r="A1300" s="12" t="s">
        <v>1945</v>
      </c>
      <c r="B1300" s="11" t="s">
        <v>1944</v>
      </c>
      <c r="C1300" s="3" t="s">
        <v>1946</v>
      </c>
    </row>
    <row r="1301" spans="1:5">
      <c r="A1301" s="12" t="s">
        <v>2446</v>
      </c>
      <c r="B1301" s="11" t="s">
        <v>2445</v>
      </c>
      <c r="C1301" s="3" t="s">
        <v>2324</v>
      </c>
    </row>
    <row r="1302" spans="1:5">
      <c r="A1302" s="12" t="s">
        <v>2953</v>
      </c>
      <c r="B1302" s="11" t="s">
        <v>2952</v>
      </c>
      <c r="C1302" s="3" t="s">
        <v>2227</v>
      </c>
    </row>
    <row r="1303" spans="1:5">
      <c r="A1303" s="12" t="s">
        <v>2955</v>
      </c>
      <c r="B1303" s="11" t="s">
        <v>2954</v>
      </c>
      <c r="C1303" s="3" t="s">
        <v>2956</v>
      </c>
    </row>
    <row r="1304" spans="1:5">
      <c r="A1304" s="12" t="s">
        <v>497</v>
      </c>
      <c r="B1304" s="11" t="s">
        <v>2958</v>
      </c>
      <c r="C1304" s="3" t="s">
        <v>2957</v>
      </c>
    </row>
    <row r="1305" spans="1:5">
      <c r="A1305" s="12" t="s">
        <v>2962</v>
      </c>
      <c r="B1305" s="11" t="s">
        <v>2961</v>
      </c>
      <c r="C1305" s="3" t="s">
        <v>2959</v>
      </c>
      <c r="E1305" s="3" t="s">
        <v>2960</v>
      </c>
    </row>
    <row r="1306" spans="1:5">
      <c r="A1306" s="12" t="s">
        <v>915</v>
      </c>
      <c r="B1306" s="11" t="s">
        <v>914</v>
      </c>
      <c r="C1306" s="3" t="s">
        <v>2963</v>
      </c>
    </row>
    <row r="1307" spans="1:5">
      <c r="A1307" s="12" t="s">
        <v>2965</v>
      </c>
      <c r="B1307" s="11" t="s">
        <v>2964</v>
      </c>
      <c r="C1307" s="3" t="s">
        <v>2966</v>
      </c>
    </row>
    <row r="1308" spans="1:5">
      <c r="A1308" s="12" t="s">
        <v>2970</v>
      </c>
      <c r="B1308" s="11" t="s">
        <v>2969</v>
      </c>
      <c r="C1308" s="3" t="s">
        <v>2968</v>
      </c>
    </row>
    <row r="1309" spans="1:5">
      <c r="A1309" s="12" t="s">
        <v>2973</v>
      </c>
      <c r="B1309" s="11" t="s">
        <v>2972</v>
      </c>
      <c r="C1309" s="3" t="s">
        <v>2974</v>
      </c>
    </row>
    <row r="1310" spans="1:5">
      <c r="A1310" s="12" t="s">
        <v>2977</v>
      </c>
      <c r="B1310" s="11" t="s">
        <v>2976</v>
      </c>
      <c r="C1310" s="3" t="s">
        <v>2975</v>
      </c>
    </row>
    <row r="1311" spans="1:5">
      <c r="A1311" s="12" t="s">
        <v>2636</v>
      </c>
      <c r="B1311" s="11" t="s">
        <v>2820</v>
      </c>
      <c r="C1311" s="3" t="s">
        <v>1393</v>
      </c>
    </row>
    <row r="1312" spans="1:5">
      <c r="A1312" s="12" t="s">
        <v>2980</v>
      </c>
      <c r="B1312" s="11" t="s">
        <v>2979</v>
      </c>
      <c r="C1312" s="3" t="s">
        <v>2978</v>
      </c>
      <c r="D1312" s="3" t="s">
        <v>2981</v>
      </c>
    </row>
    <row r="1313" spans="1:5">
      <c r="A1313" s="12" t="s">
        <v>2984</v>
      </c>
      <c r="B1313" s="11" t="s">
        <v>2983</v>
      </c>
      <c r="C1313" s="3" t="s">
        <v>2982</v>
      </c>
      <c r="E1313" s="3" t="s">
        <v>3022</v>
      </c>
    </row>
    <row r="1314" spans="1:5">
      <c r="A1314" s="12" t="s">
        <v>812</v>
      </c>
      <c r="B1314" s="11" t="s">
        <v>811</v>
      </c>
      <c r="C1314" s="3" t="s">
        <v>2985</v>
      </c>
      <c r="E1314" s="3" t="s">
        <v>2993</v>
      </c>
    </row>
    <row r="1315" spans="1:5">
      <c r="A1315" s="12" t="s">
        <v>497</v>
      </c>
      <c r="B1315" s="11" t="s">
        <v>2986</v>
      </c>
      <c r="C1315" s="3" t="s">
        <v>1938</v>
      </c>
    </row>
    <row r="1316" spans="1:5">
      <c r="A1316" s="12" t="s">
        <v>2988</v>
      </c>
      <c r="B1316" s="11" t="s">
        <v>2987</v>
      </c>
      <c r="C1316" s="3" t="s">
        <v>2989</v>
      </c>
    </row>
    <row r="1317" spans="1:5">
      <c r="A1317" s="12" t="s">
        <v>1982</v>
      </c>
      <c r="B1317" s="11" t="s">
        <v>1981</v>
      </c>
      <c r="C1317" s="3" t="s">
        <v>2124</v>
      </c>
      <c r="D1317" s="3" t="s">
        <v>2125</v>
      </c>
      <c r="E1317" s="3" t="s">
        <v>2990</v>
      </c>
    </row>
    <row r="1318" spans="1:5" ht="21">
      <c r="A1318" s="100">
        <v>42491</v>
      </c>
      <c r="B1318" s="100"/>
      <c r="C1318" s="100"/>
      <c r="D1318" s="100"/>
      <c r="E1318" s="100"/>
    </row>
    <row r="1319" spans="1:5">
      <c r="A1319" s="12" t="s">
        <v>2992</v>
      </c>
      <c r="B1319" s="11" t="s">
        <v>2991</v>
      </c>
      <c r="C1319" s="3" t="s">
        <v>922</v>
      </c>
      <c r="E1319" s="3" t="s">
        <v>3000</v>
      </c>
    </row>
    <row r="1320" spans="1:5">
      <c r="A1320" s="12" t="s">
        <v>1937</v>
      </c>
      <c r="B1320" s="11" t="s">
        <v>1936</v>
      </c>
      <c r="C1320" s="3" t="s">
        <v>510</v>
      </c>
      <c r="E1320" s="3" t="s">
        <v>3001</v>
      </c>
    </row>
    <row r="1321" spans="1:5" ht="21">
      <c r="A1321" s="100">
        <v>42492</v>
      </c>
      <c r="B1321" s="100"/>
      <c r="C1321" s="100"/>
      <c r="D1321" s="100"/>
      <c r="E1321" s="100"/>
    </row>
    <row r="1322" spans="1:5" ht="21">
      <c r="A1322" s="100">
        <v>42493</v>
      </c>
      <c r="B1322" s="100"/>
      <c r="C1322" s="100"/>
      <c r="D1322" s="100"/>
      <c r="E1322" s="100"/>
    </row>
    <row r="1323" spans="1:5" ht="21">
      <c r="A1323" s="100">
        <v>42494</v>
      </c>
      <c r="B1323" s="100"/>
      <c r="C1323" s="100"/>
      <c r="D1323" s="100"/>
      <c r="E1323" s="100"/>
    </row>
    <row r="1324" spans="1:5">
      <c r="C1324" s="3" t="s">
        <v>1947</v>
      </c>
      <c r="E1324" s="3" t="s">
        <v>2995</v>
      </c>
    </row>
    <row r="1325" spans="1:5">
      <c r="C1325" s="3" t="s">
        <v>733</v>
      </c>
      <c r="E1325" s="3" t="s">
        <v>2994</v>
      </c>
    </row>
    <row r="1326" spans="1:5">
      <c r="C1326" s="3" t="s">
        <v>733</v>
      </c>
      <c r="E1326" s="3" t="s">
        <v>2994</v>
      </c>
    </row>
    <row r="1327" spans="1:5">
      <c r="C1327" s="3" t="s">
        <v>2996</v>
      </c>
      <c r="E1327" s="3" t="s">
        <v>2998</v>
      </c>
    </row>
    <row r="1328" spans="1:5">
      <c r="C1328" s="3" t="s">
        <v>2997</v>
      </c>
      <c r="E1328" s="3" t="s">
        <v>2999</v>
      </c>
    </row>
    <row r="1329" spans="1:6">
      <c r="C1329" s="3" t="s">
        <v>1475</v>
      </c>
      <c r="E1329" s="3" t="s">
        <v>3009</v>
      </c>
    </row>
    <row r="1330" spans="1:6">
      <c r="C1330" s="3" t="s">
        <v>3010</v>
      </c>
      <c r="E1330" s="126" t="s">
        <v>3011</v>
      </c>
    </row>
    <row r="1331" spans="1:6">
      <c r="C1331" s="3" t="s">
        <v>3012</v>
      </c>
      <c r="E1331" s="3" t="s">
        <v>3013</v>
      </c>
    </row>
    <row r="1334" spans="1:6">
      <c r="A1334" s="12" t="s">
        <v>1701</v>
      </c>
      <c r="B1334" s="11" t="s">
        <v>18</v>
      </c>
      <c r="C1334" s="3" t="s">
        <v>3021</v>
      </c>
    </row>
    <row r="1335" spans="1:6" ht="24.75">
      <c r="F1335" s="99"/>
    </row>
  </sheetData>
  <sortState ref="C1333:C1362">
    <sortCondition ref="C1362"/>
  </sortState>
  <mergeCells count="98">
    <mergeCell ref="A1322:E1322"/>
    <mergeCell ref="A1321:E1321"/>
    <mergeCell ref="A1298:E1298"/>
    <mergeCell ref="A1269:E1269"/>
    <mergeCell ref="A1250:E1250"/>
    <mergeCell ref="A1227:E1227"/>
    <mergeCell ref="A691:E691"/>
    <mergeCell ref="A1055:E1055"/>
    <mergeCell ref="A969:E969"/>
    <mergeCell ref="A913:E913"/>
    <mergeCell ref="A880:E880"/>
    <mergeCell ref="A1021:E1021"/>
    <mergeCell ref="A903:E903"/>
    <mergeCell ref="A1037:E1037"/>
    <mergeCell ref="A1007:E1007"/>
    <mergeCell ref="A1081:E1081"/>
    <mergeCell ref="A1108:E1108"/>
    <mergeCell ref="A1061:E1061"/>
    <mergeCell ref="A291:E291"/>
    <mergeCell ref="A814:E814"/>
    <mergeCell ref="A800:E800"/>
    <mergeCell ref="A773:E773"/>
    <mergeCell ref="A788:E788"/>
    <mergeCell ref="A503:E503"/>
    <mergeCell ref="A554:E554"/>
    <mergeCell ref="A644:E644"/>
    <mergeCell ref="A462:E462"/>
    <mergeCell ref="A319:E319"/>
    <mergeCell ref="A760:E760"/>
    <mergeCell ref="A734:E734"/>
    <mergeCell ref="A715:E715"/>
    <mergeCell ref="A662:E662"/>
    <mergeCell ref="A343:E343"/>
    <mergeCell ref="A300:E300"/>
    <mergeCell ref="A980:E980"/>
    <mergeCell ref="A989:E989"/>
    <mergeCell ref="A927:E927"/>
    <mergeCell ref="A703:E703"/>
    <mergeCell ref="A739:E739"/>
    <mergeCell ref="A875:E875"/>
    <mergeCell ref="A845:E845"/>
    <mergeCell ref="A819:E819"/>
    <mergeCell ref="A1:A2"/>
    <mergeCell ref="B1:B2"/>
    <mergeCell ref="C1:C2"/>
    <mergeCell ref="D1:D2"/>
    <mergeCell ref="E1:E2"/>
    <mergeCell ref="A107:E107"/>
    <mergeCell ref="A49:E49"/>
    <mergeCell ref="A136:E136"/>
    <mergeCell ref="A121:E121"/>
    <mergeCell ref="A248:E248"/>
    <mergeCell ref="A371:E371"/>
    <mergeCell ref="A398:E398"/>
    <mergeCell ref="A404:E404"/>
    <mergeCell ref="A390:E390"/>
    <mergeCell ref="A429:E429"/>
    <mergeCell ref="A491:E491"/>
    <mergeCell ref="A584:E584"/>
    <mergeCell ref="A628:E628"/>
    <mergeCell ref="A948:E948"/>
    <mergeCell ref="A447:E447"/>
    <mergeCell ref="A593:E593"/>
    <mergeCell ref="A570:E570"/>
    <mergeCell ref="A939:E939"/>
    <mergeCell ref="A675:E675"/>
    <mergeCell ref="A360:E360"/>
    <mergeCell ref="A1142:E1142"/>
    <mergeCell ref="A3:E3"/>
    <mergeCell ref="A96:E96"/>
    <mergeCell ref="A82:E82"/>
    <mergeCell ref="A66:E66"/>
    <mergeCell ref="A236:E236"/>
    <mergeCell ref="A222:E222"/>
    <mergeCell ref="A17:E17"/>
    <mergeCell ref="A166:E166"/>
    <mergeCell ref="A148:E148"/>
    <mergeCell ref="A27:E27"/>
    <mergeCell ref="A482:E482"/>
    <mergeCell ref="A202:E202"/>
    <mergeCell ref="A190:E190"/>
    <mergeCell ref="A518:E518"/>
    <mergeCell ref="A1323:E1323"/>
    <mergeCell ref="A268:E268"/>
    <mergeCell ref="A1318:E1318"/>
    <mergeCell ref="A1285:E1285"/>
    <mergeCell ref="A1253:E1253"/>
    <mergeCell ref="A1241:E1241"/>
    <mergeCell ref="A833:E833"/>
    <mergeCell ref="A1210:E1210"/>
    <mergeCell ref="A1188:E1188"/>
    <mergeCell ref="A1157:E1157"/>
    <mergeCell ref="A1130:E1130"/>
    <mergeCell ref="A1096:E1096"/>
    <mergeCell ref="A1202:E1202"/>
    <mergeCell ref="A1171:E1171"/>
    <mergeCell ref="A859:E859"/>
    <mergeCell ref="A1000:E1000"/>
  </mergeCells>
  <pageMargins left="0.7" right="0.7" top="0.75" bottom="0.75" header="0.3" footer="0.3"/>
  <pageSetup scale="90" orientation="portrait" r:id="rId1"/>
  <drawing r:id="rId2"/>
  <legacyDrawing r:id="rId3"/>
  <controls>
    <mc:AlternateContent xmlns:mc="http://schemas.openxmlformats.org/markup-compatibility/2006">
      <mc:Choice Requires="x14">
        <control shapeId="1050" r:id="rId4" name="CommandButton14">
          <controlPr defaultSize="0" autoLine="0" r:id="rId5">
            <anchor moveWithCells="1" sizeWithCells="1">
              <from>
                <xdr:col>4</xdr:col>
                <xdr:colOff>1514475</xdr:colOff>
                <xdr:row>0</xdr:row>
                <xdr:rowOff>28575</xdr:rowOff>
              </from>
              <to>
                <xdr:col>4</xdr:col>
                <xdr:colOff>1876425</xdr:colOff>
                <xdr:row>2</xdr:row>
                <xdr:rowOff>0</xdr:rowOff>
              </to>
            </anchor>
          </controlPr>
        </control>
      </mc:Choice>
      <mc:Fallback>
        <control shapeId="1050" r:id="rId4" name="CommandButton14"/>
      </mc:Fallback>
    </mc:AlternateContent>
    <mc:AlternateContent xmlns:mc="http://schemas.openxmlformats.org/markup-compatibility/2006">
      <mc:Choice Requires="x14">
        <control shapeId="1044" r:id="rId6" name="CommandButton21">
          <controlPr defaultSize="0" autoLine="0" r:id="rId7">
            <anchor moveWithCells="1" sizeWithCells="1">
              <from>
                <xdr:col>0</xdr:col>
                <xdr:colOff>1038225</xdr:colOff>
                <xdr:row>0</xdr:row>
                <xdr:rowOff>28575</xdr:rowOff>
              </from>
              <to>
                <xdr:col>1</xdr:col>
                <xdr:colOff>85725</xdr:colOff>
                <xdr:row>2</xdr:row>
                <xdr:rowOff>0</xdr:rowOff>
              </to>
            </anchor>
          </controlPr>
        </control>
      </mc:Choice>
      <mc:Fallback>
        <control shapeId="1044" r:id="rId6" name="CommandButton21"/>
      </mc:Fallback>
    </mc:AlternateContent>
    <mc:AlternateContent xmlns:mc="http://schemas.openxmlformats.org/markup-compatibility/2006">
      <mc:Choice Requires="x14">
        <control shapeId="1043" r:id="rId8" name="CommandButton11">
          <controlPr defaultSize="0" autoLine="0" r:id="rId9">
            <anchor moveWithCells="1" sizeWithCells="1">
              <from>
                <xdr:col>4</xdr:col>
                <xdr:colOff>2990850</xdr:colOff>
                <xdr:row>0</xdr:row>
                <xdr:rowOff>28575</xdr:rowOff>
              </from>
              <to>
                <xdr:col>5</xdr:col>
                <xdr:colOff>352425</xdr:colOff>
                <xdr:row>2</xdr:row>
                <xdr:rowOff>0</xdr:rowOff>
              </to>
            </anchor>
          </controlPr>
        </control>
      </mc:Choice>
      <mc:Fallback>
        <control shapeId="1043" r:id="rId8" name="CommandButton11"/>
      </mc:Fallback>
    </mc:AlternateContent>
    <mc:AlternateContent xmlns:mc="http://schemas.openxmlformats.org/markup-compatibility/2006">
      <mc:Choice Requires="x14">
        <control shapeId="1036" r:id="rId10" name="CommandButton5">
          <controlPr defaultSize="0" autoLine="0" r:id="rId11">
            <anchor moveWithCells="1">
              <from>
                <xdr:col>0</xdr:col>
                <xdr:colOff>47625</xdr:colOff>
                <xdr:row>0</xdr:row>
                <xdr:rowOff>28575</xdr:rowOff>
              </from>
              <to>
                <xdr:col>0</xdr:col>
                <xdr:colOff>390525</xdr:colOff>
                <xdr:row>1</xdr:row>
                <xdr:rowOff>152400</xdr:rowOff>
              </to>
            </anchor>
          </controlPr>
        </control>
      </mc:Choice>
      <mc:Fallback>
        <control shapeId="1036" r:id="rId10" name="CommandButton5"/>
      </mc:Fallback>
    </mc:AlternateContent>
    <mc:AlternateContent xmlns:mc="http://schemas.openxmlformats.org/markup-compatibility/2006">
      <mc:Choice Requires="x14">
        <control shapeId="1030" r:id="rId12" name="CommandButton4">
          <controlPr defaultSize="0" autoLine="0" r:id="rId13">
            <anchor moveWithCells="1" sizeWithCells="1">
              <from>
                <xdr:col>4</xdr:col>
                <xdr:colOff>1143000</xdr:colOff>
                <xdr:row>0</xdr:row>
                <xdr:rowOff>28575</xdr:rowOff>
              </from>
              <to>
                <xdr:col>4</xdr:col>
                <xdr:colOff>1504950</xdr:colOff>
                <xdr:row>2</xdr:row>
                <xdr:rowOff>0</xdr:rowOff>
              </to>
            </anchor>
          </controlPr>
        </control>
      </mc:Choice>
      <mc:Fallback>
        <control shapeId="1030" r:id="rId12" name="CommandButton4"/>
      </mc:Fallback>
    </mc:AlternateContent>
    <mc:AlternateContent xmlns:mc="http://schemas.openxmlformats.org/markup-compatibility/2006">
      <mc:Choice Requires="x14">
        <control shapeId="1028" r:id="rId14" name="CommandButton3">
          <controlPr defaultSize="0" autoLine="0" r:id="rId15">
            <anchor moveWithCells="1" sizeWithCells="1">
              <from>
                <xdr:col>4</xdr:col>
                <xdr:colOff>409575</xdr:colOff>
                <xdr:row>0</xdr:row>
                <xdr:rowOff>28575</xdr:rowOff>
              </from>
              <to>
                <xdr:col>4</xdr:col>
                <xdr:colOff>771525</xdr:colOff>
                <xdr:row>2</xdr:row>
                <xdr:rowOff>0</xdr:rowOff>
              </to>
            </anchor>
          </controlPr>
        </control>
      </mc:Choice>
      <mc:Fallback>
        <control shapeId="1028" r:id="rId14" name="CommandButton3"/>
      </mc:Fallback>
    </mc:AlternateContent>
    <mc:AlternateContent xmlns:mc="http://schemas.openxmlformats.org/markup-compatibility/2006">
      <mc:Choice Requires="x14">
        <control shapeId="1027" r:id="rId16" name="CommandButton2">
          <controlPr defaultSize="0" autoLine="0" r:id="rId17">
            <anchor moveWithCells="1" sizeWithCells="1">
              <from>
                <xdr:col>5</xdr:col>
                <xdr:colOff>361950</xdr:colOff>
                <xdr:row>0</xdr:row>
                <xdr:rowOff>28575</xdr:rowOff>
              </from>
              <to>
                <xdr:col>6</xdr:col>
                <xdr:colOff>114300</xdr:colOff>
                <xdr:row>2</xdr:row>
                <xdr:rowOff>0</xdr:rowOff>
              </to>
            </anchor>
          </controlPr>
        </control>
      </mc:Choice>
      <mc:Fallback>
        <control shapeId="1027" r:id="rId16" name="CommandButton2"/>
      </mc:Fallback>
    </mc:AlternateContent>
    <mc:AlternateContent xmlns:mc="http://schemas.openxmlformats.org/markup-compatibility/2006">
      <mc:Choice Requires="x14">
        <control shapeId="1026" r:id="rId18" name="CommandButton1">
          <controlPr defaultSize="0" autoLine="0" r:id="rId19">
            <anchor moveWithCells="1" sizeWithCells="1">
              <from>
                <xdr:col>4</xdr:col>
                <xdr:colOff>38100</xdr:colOff>
                <xdr:row>0</xdr:row>
                <xdr:rowOff>28575</xdr:rowOff>
              </from>
              <to>
                <xdr:col>4</xdr:col>
                <xdr:colOff>400050</xdr:colOff>
                <xdr:row>2</xdr:row>
                <xdr:rowOff>0</xdr:rowOff>
              </to>
            </anchor>
          </controlPr>
        </control>
      </mc:Choice>
      <mc:Fallback>
        <control shapeId="1026" r:id="rId18" name="CommandButton1"/>
      </mc:Fallback>
    </mc:AlternateContent>
    <mc:AlternateContent xmlns:mc="http://schemas.openxmlformats.org/markup-compatibility/2006">
      <mc:Choice Requires="x14">
        <control shapeId="1038" r:id="rId20" name="CommandButton6">
          <controlPr defaultSize="0" autoLine="0" r:id="rId21">
            <anchor moveWithCells="1" sizeWithCells="1">
              <from>
                <xdr:col>7</xdr:col>
                <xdr:colOff>552450</xdr:colOff>
                <xdr:row>0</xdr:row>
                <xdr:rowOff>28575</xdr:rowOff>
              </from>
              <to>
                <xdr:col>8</xdr:col>
                <xdr:colOff>304800</xdr:colOff>
                <xdr:row>2</xdr:row>
                <xdr:rowOff>0</xdr:rowOff>
              </to>
            </anchor>
          </controlPr>
        </control>
      </mc:Choice>
      <mc:Fallback>
        <control shapeId="1038" r:id="rId20" name="CommandButton6"/>
      </mc:Fallback>
    </mc:AlternateContent>
    <mc:AlternateContent xmlns:mc="http://schemas.openxmlformats.org/markup-compatibility/2006">
      <mc:Choice Requires="x14">
        <control shapeId="1039" r:id="rId22" name="CommandButton7">
          <controlPr defaultSize="0" autoLine="0" r:id="rId23">
            <anchor moveWithCells="1" sizeWithCells="1">
              <from>
                <xdr:col>4</xdr:col>
                <xdr:colOff>2257425</xdr:colOff>
                <xdr:row>0</xdr:row>
                <xdr:rowOff>28575</xdr:rowOff>
              </from>
              <to>
                <xdr:col>4</xdr:col>
                <xdr:colOff>2619375</xdr:colOff>
                <xdr:row>2</xdr:row>
                <xdr:rowOff>0</xdr:rowOff>
              </to>
            </anchor>
          </controlPr>
        </control>
      </mc:Choice>
      <mc:Fallback>
        <control shapeId="1039" r:id="rId22" name="CommandButton7"/>
      </mc:Fallback>
    </mc:AlternateContent>
    <mc:AlternateContent xmlns:mc="http://schemas.openxmlformats.org/markup-compatibility/2006">
      <mc:Choice Requires="x14">
        <control shapeId="1040" r:id="rId24" name="CommandButton8">
          <controlPr defaultSize="0" autoLine="0" r:id="rId25">
            <anchor moveWithCells="1" sizeWithCells="1">
              <from>
                <xdr:col>4</xdr:col>
                <xdr:colOff>1885950</xdr:colOff>
                <xdr:row>0</xdr:row>
                <xdr:rowOff>28575</xdr:rowOff>
              </from>
              <to>
                <xdr:col>4</xdr:col>
                <xdr:colOff>2247900</xdr:colOff>
                <xdr:row>2</xdr:row>
                <xdr:rowOff>0</xdr:rowOff>
              </to>
            </anchor>
          </controlPr>
        </control>
      </mc:Choice>
      <mc:Fallback>
        <control shapeId="1040" r:id="rId24" name="CommandButton8"/>
      </mc:Fallback>
    </mc:AlternateContent>
    <mc:AlternateContent xmlns:mc="http://schemas.openxmlformats.org/markup-compatibility/2006">
      <mc:Choice Requires="x14">
        <control shapeId="1041" r:id="rId26" name="CommandButton9">
          <controlPr defaultSize="0" autoLine="0" r:id="rId27">
            <anchor moveWithCells="1" sizeWithCells="1">
              <from>
                <xdr:col>7</xdr:col>
                <xdr:colOff>180975</xdr:colOff>
                <xdr:row>0</xdr:row>
                <xdr:rowOff>28575</xdr:rowOff>
              </from>
              <to>
                <xdr:col>7</xdr:col>
                <xdr:colOff>542925</xdr:colOff>
                <xdr:row>2</xdr:row>
                <xdr:rowOff>0</xdr:rowOff>
              </to>
            </anchor>
          </controlPr>
        </control>
      </mc:Choice>
      <mc:Fallback>
        <control shapeId="1041" r:id="rId26" name="CommandButton9"/>
      </mc:Fallback>
    </mc:AlternateContent>
    <mc:AlternateContent xmlns:mc="http://schemas.openxmlformats.org/markup-compatibility/2006">
      <mc:Choice Requires="x14">
        <control shapeId="1042" r:id="rId28" name="CommandButton10">
          <controlPr defaultSize="0" autoLine="0" r:id="rId29">
            <anchor moveWithCells="1" sizeWithCells="1">
              <from>
                <xdr:col>4</xdr:col>
                <xdr:colOff>781050</xdr:colOff>
                <xdr:row>0</xdr:row>
                <xdr:rowOff>28575</xdr:rowOff>
              </from>
              <to>
                <xdr:col>4</xdr:col>
                <xdr:colOff>1143000</xdr:colOff>
                <xdr:row>2</xdr:row>
                <xdr:rowOff>0</xdr:rowOff>
              </to>
            </anchor>
          </controlPr>
        </control>
      </mc:Choice>
      <mc:Fallback>
        <control shapeId="1042" r:id="rId28" name="CommandButton10"/>
      </mc:Fallback>
    </mc:AlternateContent>
    <mc:AlternateContent xmlns:mc="http://schemas.openxmlformats.org/markup-compatibility/2006">
      <mc:Choice Requires="x14">
        <control shapeId="1047" r:id="rId30" name="CommandButton12">
          <controlPr defaultSize="0" autoLine="0" r:id="rId31">
            <anchor moveWithCells="1" sizeWithCells="1">
              <from>
                <xdr:col>6</xdr:col>
                <xdr:colOff>123825</xdr:colOff>
                <xdr:row>0</xdr:row>
                <xdr:rowOff>28575</xdr:rowOff>
              </from>
              <to>
                <xdr:col>7</xdr:col>
                <xdr:colOff>180975</xdr:colOff>
                <xdr:row>2</xdr:row>
                <xdr:rowOff>0</xdr:rowOff>
              </to>
            </anchor>
          </controlPr>
        </control>
      </mc:Choice>
      <mc:Fallback>
        <control shapeId="1047" r:id="rId30" name="CommandButton12"/>
      </mc:Fallback>
    </mc:AlternateContent>
    <mc:AlternateContent xmlns:mc="http://schemas.openxmlformats.org/markup-compatibility/2006">
      <mc:Choice Requires="x14">
        <control shapeId="1048" r:id="rId32" name="CommandButton13">
          <controlPr defaultSize="0" autoLine="0" r:id="rId33">
            <anchor moveWithCells="1" sizeWithCells="1">
              <from>
                <xdr:col>4</xdr:col>
                <xdr:colOff>2619375</xdr:colOff>
                <xdr:row>0</xdr:row>
                <xdr:rowOff>28575</xdr:rowOff>
              </from>
              <to>
                <xdr:col>4</xdr:col>
                <xdr:colOff>2981325</xdr:colOff>
                <xdr:row>2</xdr:row>
                <xdr:rowOff>0</xdr:rowOff>
              </to>
            </anchor>
          </controlPr>
        </control>
      </mc:Choice>
      <mc:Fallback>
        <control shapeId="1048" r:id="rId32" name="CommandButton13"/>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pageSetUpPr autoPageBreaks="0"/>
  </sheetPr>
  <dimension ref="A1:B22"/>
  <sheetViews>
    <sheetView workbookViewId="0"/>
  </sheetViews>
  <sheetFormatPr defaultRowHeight="15"/>
  <cols>
    <col min="1" max="1" width="74.5703125" customWidth="1"/>
    <col min="2" max="2" width="24.140625" customWidth="1"/>
  </cols>
  <sheetData>
    <row r="1" spans="1:2">
      <c r="A1" t="s">
        <v>131</v>
      </c>
    </row>
    <row r="2" spans="1:2">
      <c r="A2" t="s">
        <v>100</v>
      </c>
    </row>
    <row r="3" spans="1:2">
      <c r="A3" t="s">
        <v>85</v>
      </c>
    </row>
    <row r="4" spans="1:2">
      <c r="A4" s="76" t="s">
        <v>111</v>
      </c>
    </row>
    <row r="5" spans="1:2">
      <c r="A5" s="4" t="str">
        <f>"Left " &amp; B6 &amp; " for TM to update us on the status of the issue."</f>
        <v>Left VM for TM to update us on the status of the issue.</v>
      </c>
    </row>
    <row r="6" spans="1:2">
      <c r="A6" s="78" t="str">
        <f>"Left " &amp; B6 &amp; " for TM to call us back to work on the issue."</f>
        <v>Left VM for TM to call us back to work on the issue.</v>
      </c>
      <c r="B6" s="1" t="s">
        <v>2967</v>
      </c>
    </row>
    <row r="7" spans="1:2">
      <c r="A7" t="str">
        <f>"Left " &amp; B6 &amp; " for vendor to call back with disconnect info."</f>
        <v>Left VM for vendor to call back with disconnect info.</v>
      </c>
    </row>
    <row r="8" spans="1:2">
      <c r="A8" s="77" t="s">
        <v>261</v>
      </c>
    </row>
    <row r="9" spans="1:2">
      <c r="A9" t="s">
        <v>141</v>
      </c>
    </row>
    <row r="10" spans="1:2">
      <c r="A10" t="s">
        <v>140</v>
      </c>
    </row>
    <row r="11" spans="1:2">
      <c r="A11" t="s">
        <v>324</v>
      </c>
      <c r="B11" s="7" t="s">
        <v>325</v>
      </c>
    </row>
    <row r="12" spans="1:2">
      <c r="A12" t="s">
        <v>327</v>
      </c>
      <c r="B12" s="7" t="s">
        <v>326</v>
      </c>
    </row>
    <row r="15" spans="1:2">
      <c r="A15" t="str">
        <f>MID(TRIM(B15),FIND(" ",TRIM(B15),1)+1,LEN(TRIM(B15)))&amp;"."&amp;LEFT(TRIM(B15),(FIND(",",TRIM(B15))-1))&amp;"@stationcasinos.com"</f>
        <v>Maria.Medina@stationcasinos.com</v>
      </c>
      <c r="B15" t="s">
        <v>2971</v>
      </c>
    </row>
    <row r="19" spans="1:1">
      <c r="A19" s="102" t="s">
        <v>2990</v>
      </c>
    </row>
    <row r="20" spans="1:1">
      <c r="A20" s="102"/>
    </row>
    <row r="21" spans="1:1">
      <c r="A21" s="102"/>
    </row>
    <row r="22" spans="1:1">
      <c r="A22" s="102"/>
    </row>
  </sheetData>
  <mergeCells count="1">
    <mergeCell ref="A19:A22"/>
  </mergeCells>
  <conditionalFormatting sqref="A1:XFD2 A23:XFD1048576 B20:XFD22 A15:XFD19">
    <cfRule type="expression" dxfId="8" priority="10">
      <formula>MOD(ROW(),2)=0</formula>
    </cfRule>
  </conditionalFormatting>
  <conditionalFormatting sqref="A1:XFD12 A16:XFD19 A23:XFD1048576 B20:XFD22 C15:XFD15">
    <cfRule type="expression" dxfId="7" priority="4">
      <formula>MOD(ROW(),2)=0</formula>
    </cfRule>
  </conditionalFormatting>
  <conditionalFormatting sqref="A13:XFD14">
    <cfRule type="expression" dxfId="6" priority="1">
      <formula>MOD(ROW(),2)=0</formula>
    </cfRule>
  </conditionalFormatting>
  <dataValidations disablePrompts="1" count="1">
    <dataValidation type="list" allowBlank="1" showInputMessage="1" showErrorMessage="1" sqref="B6">
      <formula1>"VM, message"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076" r:id="rId4" name="CommandButton2">
          <controlPr defaultSize="0" autoFill="0" autoLine="0" r:id="rId5">
            <anchor moveWithCells="1">
              <from>
                <xdr:col>1</xdr:col>
                <xdr:colOff>295275</xdr:colOff>
                <xdr:row>4</xdr:row>
                <xdr:rowOff>95250</xdr:rowOff>
              </from>
              <to>
                <xdr:col>1</xdr:col>
                <xdr:colOff>1485900</xdr:colOff>
                <xdr:row>7</xdr:row>
                <xdr:rowOff>85725</xdr:rowOff>
              </to>
            </anchor>
          </controlPr>
        </control>
      </mc:Choice>
      <mc:Fallback>
        <control shapeId="3076" r:id="rId4" name="CommandButton2"/>
      </mc:Fallback>
    </mc:AlternateContent>
    <mc:AlternateContent xmlns:mc="http://schemas.openxmlformats.org/markup-compatibility/2006">
      <mc:Choice Requires="x14">
        <control shapeId="3073" r:id="rId6" name="CommandButton1">
          <controlPr defaultSize="0" autoFill="0" autoLine="0" r:id="rId7">
            <anchor moveWithCells="1">
              <from>
                <xdr:col>1</xdr:col>
                <xdr:colOff>295275</xdr:colOff>
                <xdr:row>1</xdr:row>
                <xdr:rowOff>19050</xdr:rowOff>
              </from>
              <to>
                <xdr:col>1</xdr:col>
                <xdr:colOff>1485900</xdr:colOff>
                <xdr:row>4</xdr:row>
                <xdr:rowOff>9525</xdr:rowOff>
              </to>
            </anchor>
          </controlPr>
        </control>
      </mc:Choice>
      <mc:Fallback>
        <control shapeId="3073" r:id="rId6"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outlinePr summaryBelow="0"/>
    <pageSetUpPr autoPageBreaks="0"/>
  </sheetPr>
  <dimension ref="A1:E84"/>
  <sheetViews>
    <sheetView workbookViewId="0">
      <pane ySplit="1" topLeftCell="A73" activePane="bottomLeft" state="frozen"/>
      <selection activeCell="B1046" sqref="B1046"/>
      <selection pane="bottomLeft" activeCell="A119" sqref="A119"/>
    </sheetView>
  </sheetViews>
  <sheetFormatPr defaultRowHeight="15" outlineLevelRow="1"/>
  <cols>
    <col min="1" max="2" width="20.7109375" style="4" customWidth="1"/>
    <col min="3" max="3" width="17.5703125" style="32" customWidth="1"/>
    <col min="4" max="4" width="20.7109375" style="8" customWidth="1"/>
    <col min="5" max="5" width="20.7109375" style="4" customWidth="1"/>
    <col min="6" max="16384" width="9.140625" style="4"/>
  </cols>
  <sheetData>
    <row r="1" spans="1:5">
      <c r="A1" s="1" t="s">
        <v>53</v>
      </c>
      <c r="B1" s="1" t="s">
        <v>54</v>
      </c>
      <c r="C1" s="30" t="s">
        <v>4</v>
      </c>
      <c r="D1" s="5"/>
    </row>
    <row r="2" spans="1:5">
      <c r="A2" s="5" t="s">
        <v>76</v>
      </c>
      <c r="B2"/>
      <c r="C2" s="31"/>
      <c r="D2" s="2"/>
      <c r="E2"/>
    </row>
    <row r="3" spans="1:5" ht="15" customHeight="1" outlineLevel="1">
      <c r="A3" s="2" t="s">
        <v>58</v>
      </c>
      <c r="B3" t="s">
        <v>18</v>
      </c>
      <c r="C3" s="31">
        <v>5</v>
      </c>
      <c r="D3" s="10"/>
      <c r="E3"/>
    </row>
    <row r="4" spans="1:5" ht="15" customHeight="1" outlineLevel="1">
      <c r="A4" s="2" t="s">
        <v>59</v>
      </c>
      <c r="B4" t="s">
        <v>18</v>
      </c>
      <c r="C4" s="31">
        <v>11</v>
      </c>
      <c r="D4" s="9" t="s">
        <v>408</v>
      </c>
      <c r="E4"/>
    </row>
    <row r="5" spans="1:5" ht="15" customHeight="1" outlineLevel="1">
      <c r="A5" s="2" t="s">
        <v>60</v>
      </c>
      <c r="B5" t="s">
        <v>18</v>
      </c>
      <c r="C5" s="31">
        <v>14</v>
      </c>
      <c r="D5" s="9"/>
      <c r="E5"/>
    </row>
    <row r="6" spans="1:5" ht="15" customHeight="1" outlineLevel="1">
      <c r="A6" s="2" t="s">
        <v>61</v>
      </c>
      <c r="B6" t="s">
        <v>18</v>
      </c>
      <c r="C6" s="31" t="s">
        <v>2557</v>
      </c>
      <c r="D6" s="9"/>
      <c r="E6"/>
    </row>
    <row r="7" spans="1:5" ht="15" customHeight="1" outlineLevel="1">
      <c r="A7" s="2" t="s">
        <v>62</v>
      </c>
      <c r="B7" t="s">
        <v>18</v>
      </c>
      <c r="C7" s="31">
        <v>4</v>
      </c>
      <c r="D7" s="9"/>
      <c r="E7"/>
    </row>
    <row r="8" spans="1:5" ht="15" customHeight="1" outlineLevel="1">
      <c r="A8" s="2" t="s">
        <v>64</v>
      </c>
      <c r="B8" t="s">
        <v>18</v>
      </c>
      <c r="C8" s="31">
        <v>6</v>
      </c>
      <c r="D8" s="9" t="s">
        <v>408</v>
      </c>
      <c r="E8"/>
    </row>
    <row r="9" spans="1:5" ht="15" customHeight="1" outlineLevel="1">
      <c r="A9" s="2" t="s">
        <v>66</v>
      </c>
      <c r="B9" t="s">
        <v>18</v>
      </c>
      <c r="C9" s="31" t="s">
        <v>2557</v>
      </c>
      <c r="D9" s="9"/>
      <c r="E9"/>
    </row>
    <row r="10" spans="1:5" ht="15" customHeight="1" outlineLevel="1">
      <c r="A10" s="2" t="s">
        <v>67</v>
      </c>
      <c r="B10" t="s">
        <v>18</v>
      </c>
      <c r="C10" s="31" t="s">
        <v>2557</v>
      </c>
      <c r="D10" s="9" t="s">
        <v>408</v>
      </c>
      <c r="E10"/>
    </row>
    <row r="11" spans="1:5" ht="15" customHeight="1" outlineLevel="1">
      <c r="A11" s="2" t="s">
        <v>68</v>
      </c>
      <c r="B11" t="s">
        <v>18</v>
      </c>
      <c r="C11" s="31">
        <v>6</v>
      </c>
      <c r="D11" s="9"/>
      <c r="E11"/>
    </row>
    <row r="12" spans="1:5" ht="15" customHeight="1" outlineLevel="1">
      <c r="A12" s="2" t="s">
        <v>69</v>
      </c>
      <c r="B12" t="s">
        <v>18</v>
      </c>
      <c r="C12" s="31">
        <v>12</v>
      </c>
      <c r="D12" s="9" t="s">
        <v>408</v>
      </c>
      <c r="E12"/>
    </row>
    <row r="13" spans="1:5" ht="15" customHeight="1" outlineLevel="1">
      <c r="A13" s="2" t="s">
        <v>70</v>
      </c>
      <c r="B13" t="s">
        <v>18</v>
      </c>
      <c r="C13" s="31">
        <v>6</v>
      </c>
      <c r="D13" s="9"/>
      <c r="E13"/>
    </row>
    <row r="14" spans="1:5" ht="15" customHeight="1" outlineLevel="1">
      <c r="A14" s="2" t="s">
        <v>71</v>
      </c>
      <c r="B14" t="s">
        <v>18</v>
      </c>
      <c r="C14" s="31">
        <v>12</v>
      </c>
      <c r="D14" s="9" t="s">
        <v>408</v>
      </c>
      <c r="E14"/>
    </row>
    <row r="15" spans="1:5" ht="15" customHeight="1" outlineLevel="1">
      <c r="A15" s="2" t="s">
        <v>72</v>
      </c>
      <c r="B15" t="s">
        <v>18</v>
      </c>
      <c r="C15" s="31">
        <v>3</v>
      </c>
      <c r="D15" s="9" t="s">
        <v>408</v>
      </c>
      <c r="E15"/>
    </row>
    <row r="16" spans="1:5" ht="15" customHeight="1" outlineLevel="1">
      <c r="A16" s="2" t="s">
        <v>172</v>
      </c>
      <c r="B16" t="s">
        <v>18</v>
      </c>
      <c r="C16" s="31">
        <v>7</v>
      </c>
      <c r="D16" s="9" t="s">
        <v>408</v>
      </c>
      <c r="E16"/>
    </row>
    <row r="17" spans="1:5" ht="15" customHeight="1" outlineLevel="1">
      <c r="A17" s="2" t="s">
        <v>73</v>
      </c>
      <c r="B17" t="s">
        <v>18</v>
      </c>
      <c r="C17" s="31" t="s">
        <v>2557</v>
      </c>
      <c r="D17" s="9" t="s">
        <v>408</v>
      </c>
      <c r="E17"/>
    </row>
    <row r="18" spans="1:5" ht="15" customHeight="1" outlineLevel="1">
      <c r="A18" s="2" t="s">
        <v>328</v>
      </c>
      <c r="B18" t="s">
        <v>18</v>
      </c>
      <c r="C18" s="31">
        <v>4</v>
      </c>
      <c r="D18" s="9" t="s">
        <v>408</v>
      </c>
      <c r="E18"/>
    </row>
    <row r="19" spans="1:5" ht="15" customHeight="1" outlineLevel="1">
      <c r="A19" s="2" t="s">
        <v>74</v>
      </c>
      <c r="B19" t="s">
        <v>18</v>
      </c>
      <c r="C19" s="31">
        <v>13</v>
      </c>
      <c r="D19" s="9" t="s">
        <v>408</v>
      </c>
      <c r="E19"/>
    </row>
    <row r="20" spans="1:5" ht="15" customHeight="1" outlineLevel="1">
      <c r="A20" s="2" t="s">
        <v>75</v>
      </c>
      <c r="B20" t="s">
        <v>18</v>
      </c>
      <c r="C20" s="31">
        <v>13</v>
      </c>
      <c r="D20" s="9" t="s">
        <v>408</v>
      </c>
      <c r="E20"/>
    </row>
    <row r="21" spans="1:5" ht="15" customHeight="1" outlineLevel="1">
      <c r="A21" s="2" t="s">
        <v>332</v>
      </c>
      <c r="B21" t="s">
        <v>18</v>
      </c>
      <c r="C21" s="31">
        <v>9</v>
      </c>
      <c r="D21" s="9"/>
      <c r="E21"/>
    </row>
    <row r="22" spans="1:5" ht="15" customHeight="1" outlineLevel="1">
      <c r="A22" s="2" t="s">
        <v>185</v>
      </c>
      <c r="B22" t="s">
        <v>18</v>
      </c>
      <c r="C22" s="31">
        <v>8</v>
      </c>
      <c r="D22" s="9" t="s">
        <v>408</v>
      </c>
      <c r="E22"/>
    </row>
    <row r="23" spans="1:5" collapsed="1">
      <c r="A23" s="5" t="s">
        <v>7</v>
      </c>
      <c r="B23"/>
      <c r="C23" s="31"/>
      <c r="D23" s="2"/>
      <c r="E23"/>
    </row>
    <row r="24" spans="1:5" hidden="1" outlineLevel="1">
      <c r="A24" s="2" t="s">
        <v>58</v>
      </c>
      <c r="B24" t="s">
        <v>80</v>
      </c>
      <c r="C24" s="31"/>
      <c r="D24" s="9"/>
      <c r="E24"/>
    </row>
    <row r="25" spans="1:5" hidden="1" outlineLevel="1">
      <c r="A25" s="2" t="s">
        <v>59</v>
      </c>
      <c r="B25" t="s">
        <v>80</v>
      </c>
      <c r="C25" s="31"/>
      <c r="D25" s="9"/>
      <c r="E25"/>
    </row>
    <row r="26" spans="1:5" hidden="1" outlineLevel="1">
      <c r="A26" s="2" t="s">
        <v>60</v>
      </c>
      <c r="B26" t="s">
        <v>80</v>
      </c>
      <c r="C26" s="31"/>
      <c r="D26" s="9"/>
      <c r="E26"/>
    </row>
    <row r="27" spans="1:5" hidden="1" outlineLevel="1">
      <c r="A27" s="2" t="s">
        <v>61</v>
      </c>
      <c r="B27" t="s">
        <v>80</v>
      </c>
      <c r="C27" s="31"/>
      <c r="D27" s="9"/>
      <c r="E27"/>
    </row>
    <row r="28" spans="1:5" hidden="1" outlineLevel="1">
      <c r="A28" s="2" t="s">
        <v>62</v>
      </c>
      <c r="B28" t="s">
        <v>80</v>
      </c>
      <c r="C28" s="31"/>
      <c r="D28" s="9"/>
      <c r="E28"/>
    </row>
    <row r="29" spans="1:5" hidden="1" outlineLevel="1">
      <c r="A29" s="2" t="s">
        <v>63</v>
      </c>
      <c r="B29" t="s">
        <v>80</v>
      </c>
      <c r="C29" s="31"/>
      <c r="D29" s="9"/>
      <c r="E29"/>
    </row>
    <row r="30" spans="1:5" hidden="1" outlineLevel="1">
      <c r="A30" s="2" t="s">
        <v>64</v>
      </c>
      <c r="B30" t="s">
        <v>80</v>
      </c>
      <c r="C30" s="31"/>
      <c r="D30" s="9"/>
      <c r="E30"/>
    </row>
    <row r="31" spans="1:5" hidden="1" outlineLevel="1">
      <c r="A31" s="2" t="s">
        <v>112</v>
      </c>
      <c r="B31" t="s">
        <v>80</v>
      </c>
      <c r="C31" s="31"/>
      <c r="D31" s="9"/>
      <c r="E31"/>
    </row>
    <row r="32" spans="1:5" hidden="1" outlineLevel="1">
      <c r="A32" s="2" t="s">
        <v>65</v>
      </c>
      <c r="B32" t="s">
        <v>80</v>
      </c>
      <c r="C32" s="31"/>
      <c r="D32" s="9"/>
      <c r="E32"/>
    </row>
    <row r="33" spans="1:5" hidden="1" outlineLevel="1">
      <c r="A33" s="2" t="s">
        <v>66</v>
      </c>
      <c r="B33" t="s">
        <v>80</v>
      </c>
      <c r="C33" s="31"/>
      <c r="D33" s="9"/>
      <c r="E33"/>
    </row>
    <row r="34" spans="1:5" hidden="1" outlineLevel="1">
      <c r="A34" s="2" t="s">
        <v>67</v>
      </c>
      <c r="B34" t="s">
        <v>80</v>
      </c>
      <c r="C34" s="31"/>
      <c r="D34" s="9"/>
      <c r="E34"/>
    </row>
    <row r="35" spans="1:5" hidden="1" outlineLevel="1">
      <c r="A35" s="2" t="s">
        <v>68</v>
      </c>
      <c r="B35" t="s">
        <v>80</v>
      </c>
      <c r="C35" s="31"/>
      <c r="D35" s="9"/>
      <c r="E35"/>
    </row>
    <row r="36" spans="1:5" hidden="1" outlineLevel="1">
      <c r="A36" s="2" t="s">
        <v>69</v>
      </c>
      <c r="B36" t="s">
        <v>80</v>
      </c>
      <c r="C36" s="31"/>
      <c r="D36" s="9"/>
      <c r="E36"/>
    </row>
    <row r="37" spans="1:5" hidden="1" outlineLevel="1">
      <c r="A37" s="2" t="s">
        <v>70</v>
      </c>
      <c r="B37" t="s">
        <v>80</v>
      </c>
      <c r="C37" s="31"/>
      <c r="D37" s="9"/>
      <c r="E37"/>
    </row>
    <row r="38" spans="1:5" hidden="1" outlineLevel="1">
      <c r="A38" s="2" t="s">
        <v>71</v>
      </c>
      <c r="B38" t="s">
        <v>80</v>
      </c>
      <c r="C38" s="31"/>
      <c r="D38" s="9"/>
      <c r="E38"/>
    </row>
    <row r="39" spans="1:5" hidden="1" outlineLevel="1">
      <c r="A39" s="2" t="s">
        <v>72</v>
      </c>
      <c r="B39" t="s">
        <v>80</v>
      </c>
      <c r="C39" s="31"/>
      <c r="D39" s="9"/>
      <c r="E39"/>
    </row>
    <row r="40" spans="1:5" hidden="1" outlineLevel="1">
      <c r="A40" s="2" t="s">
        <v>73</v>
      </c>
      <c r="B40" t="s">
        <v>80</v>
      </c>
      <c r="C40" s="31"/>
      <c r="D40" s="9"/>
      <c r="E40"/>
    </row>
    <row r="41" spans="1:5" hidden="1" outlineLevel="1">
      <c r="A41" s="2" t="s">
        <v>74</v>
      </c>
      <c r="B41" t="s">
        <v>80</v>
      </c>
      <c r="C41" s="31"/>
      <c r="D41" s="9"/>
      <c r="E41"/>
    </row>
    <row r="42" spans="1:5" hidden="1" outlineLevel="1">
      <c r="A42" s="2" t="s">
        <v>75</v>
      </c>
      <c r="B42" t="s">
        <v>80</v>
      </c>
      <c r="C42" s="31"/>
      <c r="D42" s="9"/>
      <c r="E42"/>
    </row>
    <row r="43" spans="1:5">
      <c r="A43" s="5" t="s">
        <v>55</v>
      </c>
      <c r="B43"/>
      <c r="C43" s="31"/>
      <c r="D43" s="2"/>
      <c r="E43"/>
    </row>
    <row r="44" spans="1:5" outlineLevel="1">
      <c r="A44" s="2" t="s">
        <v>56</v>
      </c>
      <c r="B44" s="4" t="s">
        <v>18</v>
      </c>
      <c r="C44" s="32" t="s">
        <v>82</v>
      </c>
      <c r="D44" s="2"/>
      <c r="E44"/>
    </row>
    <row r="45" spans="1:5" outlineLevel="1">
      <c r="A45" s="2" t="s">
        <v>57</v>
      </c>
      <c r="B45" s="4" t="s">
        <v>18</v>
      </c>
      <c r="C45" s="32" t="s">
        <v>82</v>
      </c>
      <c r="D45" s="2"/>
      <c r="E45"/>
    </row>
    <row r="46" spans="1:5">
      <c r="A46" s="5" t="s">
        <v>6</v>
      </c>
      <c r="B46" t="s">
        <v>5</v>
      </c>
      <c r="C46" s="31" t="s">
        <v>5</v>
      </c>
      <c r="D46" s="2"/>
      <c r="E46"/>
    </row>
    <row r="47" spans="1:5">
      <c r="A47" s="5" t="s">
        <v>77</v>
      </c>
      <c r="B47" t="s">
        <v>78</v>
      </c>
      <c r="C47" s="31" t="s">
        <v>79</v>
      </c>
      <c r="D47" s="2"/>
      <c r="E47"/>
    </row>
    <row r="48" spans="1:5">
      <c r="A48" s="6" t="s">
        <v>49</v>
      </c>
      <c r="B48" t="s">
        <v>50</v>
      </c>
      <c r="C48" s="31" t="s">
        <v>247</v>
      </c>
      <c r="E48"/>
    </row>
    <row r="49" spans="1:5">
      <c r="A49" s="5" t="s">
        <v>51</v>
      </c>
      <c r="B49" t="s">
        <v>9</v>
      </c>
      <c r="C49" s="31" t="s">
        <v>52</v>
      </c>
      <c r="E49"/>
    </row>
    <row r="50" spans="1:5">
      <c r="A50" s="5" t="s">
        <v>86</v>
      </c>
      <c r="B50" t="s">
        <v>18</v>
      </c>
      <c r="C50" s="31" t="s">
        <v>19</v>
      </c>
      <c r="E50"/>
    </row>
    <row r="51" spans="1:5">
      <c r="A51" s="5" t="s">
        <v>87</v>
      </c>
      <c r="B51" t="s">
        <v>88</v>
      </c>
      <c r="C51" s="31" t="s">
        <v>81</v>
      </c>
      <c r="D51" s="10"/>
      <c r="E51"/>
    </row>
    <row r="52" spans="1:5">
      <c r="A52" s="5" t="s">
        <v>92</v>
      </c>
      <c r="B52" t="s">
        <v>93</v>
      </c>
      <c r="C52" s="31" t="s">
        <v>93</v>
      </c>
      <c r="E52"/>
    </row>
    <row r="53" spans="1:5">
      <c r="A53" s="5" t="s">
        <v>101</v>
      </c>
      <c r="B53" t="s">
        <v>102</v>
      </c>
      <c r="C53" s="31" t="s">
        <v>5</v>
      </c>
      <c r="E53"/>
    </row>
    <row r="54" spans="1:5">
      <c r="A54" s="5" t="s">
        <v>103</v>
      </c>
      <c r="B54" t="s">
        <v>104</v>
      </c>
      <c r="C54" s="31" t="s">
        <v>105</v>
      </c>
      <c r="E54"/>
    </row>
    <row r="55" spans="1:5">
      <c r="A55" s="5" t="s">
        <v>107</v>
      </c>
      <c r="B55" s="5" t="s">
        <v>106</v>
      </c>
      <c r="C55" s="31" t="s">
        <v>259</v>
      </c>
      <c r="E55"/>
    </row>
    <row r="56" spans="1:5">
      <c r="A56" s="5" t="s">
        <v>110</v>
      </c>
      <c r="C56" s="32" t="s">
        <v>109</v>
      </c>
      <c r="E56"/>
    </row>
    <row r="57" spans="1:5">
      <c r="A57" s="5" t="s">
        <v>110</v>
      </c>
      <c r="C57" s="33" t="s">
        <v>113</v>
      </c>
      <c r="E57"/>
    </row>
    <row r="58" spans="1:5">
      <c r="A58" s="5" t="s">
        <v>110</v>
      </c>
      <c r="C58" s="33" t="s">
        <v>114</v>
      </c>
      <c r="E58" t="str">
        <f>IF(D58&gt;(D58+80),"Change Password","")</f>
        <v/>
      </c>
    </row>
    <row r="59" spans="1:5">
      <c r="A59" s="5" t="s">
        <v>116</v>
      </c>
      <c r="B59" s="5" t="s">
        <v>115</v>
      </c>
      <c r="E59" t="str">
        <f>IF(D59&gt;(D59+80),"Change Password","")</f>
        <v/>
      </c>
    </row>
    <row r="60" spans="1:5">
      <c r="A60" s="7" t="s">
        <v>132</v>
      </c>
      <c r="B60" t="s">
        <v>122</v>
      </c>
      <c r="C60" s="32" t="s">
        <v>121</v>
      </c>
    </row>
    <row r="61" spans="1:5">
      <c r="A61" s="5" t="s">
        <v>130</v>
      </c>
      <c r="B61" t="s">
        <v>128</v>
      </c>
      <c r="C61" s="32" t="s">
        <v>129</v>
      </c>
    </row>
    <row r="62" spans="1:5">
      <c r="A62" s="5" t="s">
        <v>138</v>
      </c>
      <c r="B62" t="s">
        <v>18</v>
      </c>
      <c r="C62" s="31" t="s">
        <v>118</v>
      </c>
    </row>
    <row r="63" spans="1:5">
      <c r="A63" s="5" t="s">
        <v>56</v>
      </c>
      <c r="B63" t="s">
        <v>18</v>
      </c>
      <c r="C63" s="31" t="s">
        <v>411</v>
      </c>
    </row>
    <row r="64" spans="1:5">
      <c r="A64" s="5" t="s">
        <v>152</v>
      </c>
      <c r="B64" t="s">
        <v>153</v>
      </c>
      <c r="C64" s="31" t="s">
        <v>82</v>
      </c>
    </row>
    <row r="65" spans="1:4">
      <c r="A65" s="5" t="s">
        <v>256</v>
      </c>
      <c r="B65" t="s">
        <v>152</v>
      </c>
      <c r="C65" s="31" t="s">
        <v>255</v>
      </c>
    </row>
    <row r="66" spans="1:4">
      <c r="A66" s="5" t="s">
        <v>164</v>
      </c>
      <c r="B66" t="s">
        <v>165</v>
      </c>
      <c r="C66" s="31" t="s">
        <v>166</v>
      </c>
      <c r="D66" s="2" t="s">
        <v>167</v>
      </c>
    </row>
    <row r="67" spans="1:4">
      <c r="A67" s="5" t="s">
        <v>169</v>
      </c>
      <c r="B67" t="s">
        <v>168</v>
      </c>
      <c r="C67" s="31" t="s">
        <v>170</v>
      </c>
    </row>
    <row r="68" spans="1:4">
      <c r="A68" s="5" t="s">
        <v>216</v>
      </c>
      <c r="B68" t="s">
        <v>217</v>
      </c>
      <c r="C68" s="34" t="s">
        <v>215</v>
      </c>
    </row>
    <row r="69" spans="1:4">
      <c r="A69" s="5" t="s">
        <v>218</v>
      </c>
      <c r="B69" s="4" t="s">
        <v>219</v>
      </c>
      <c r="C69" s="31">
        <v>4</v>
      </c>
    </row>
    <row r="70" spans="1:4">
      <c r="A70" s="5" t="s">
        <v>49</v>
      </c>
      <c r="B70" s="4" t="s">
        <v>50</v>
      </c>
      <c r="C70" s="31" t="s">
        <v>247</v>
      </c>
    </row>
    <row r="71" spans="1:4">
      <c r="A71" s="5" t="s">
        <v>250</v>
      </c>
      <c r="B71" t="s">
        <v>248</v>
      </c>
      <c r="C71" s="31" t="s">
        <v>249</v>
      </c>
    </row>
    <row r="72" spans="1:4">
      <c r="A72" s="5" t="s">
        <v>253</v>
      </c>
      <c r="B72" s="4" t="s">
        <v>5</v>
      </c>
      <c r="C72" s="31" t="s">
        <v>254</v>
      </c>
    </row>
    <row r="73" spans="1:4">
      <c r="A73" s="5" t="s">
        <v>329</v>
      </c>
      <c r="B73" s="4" t="s">
        <v>330</v>
      </c>
      <c r="C73" s="31" t="s">
        <v>331</v>
      </c>
    </row>
    <row r="74" spans="1:4">
      <c r="A74" s="5" t="s">
        <v>343</v>
      </c>
      <c r="B74" s="4" t="s">
        <v>336</v>
      </c>
      <c r="C74" s="31" t="s">
        <v>341</v>
      </c>
    </row>
    <row r="75" spans="1:4">
      <c r="A75" s="5" t="s">
        <v>337</v>
      </c>
      <c r="B75" s="84">
        <v>8789940</v>
      </c>
      <c r="C75" s="84">
        <v>9137</v>
      </c>
    </row>
    <row r="76" spans="1:4">
      <c r="A76" s="3" t="s">
        <v>335</v>
      </c>
      <c r="C76" s="4" t="s">
        <v>342</v>
      </c>
    </row>
    <row r="77" spans="1:4">
      <c r="A77" s="5" t="s">
        <v>375</v>
      </c>
      <c r="B77" s="4" t="s">
        <v>376</v>
      </c>
      <c r="C77" s="32" t="s">
        <v>377</v>
      </c>
    </row>
    <row r="78" spans="1:4">
      <c r="A78" s="5" t="s">
        <v>378</v>
      </c>
      <c r="B78" t="s">
        <v>379</v>
      </c>
      <c r="C78" s="32" t="s">
        <v>380</v>
      </c>
    </row>
    <row r="79" spans="1:4">
      <c r="A79" s="5" t="s">
        <v>410</v>
      </c>
      <c r="B79" s="4" t="s">
        <v>217</v>
      </c>
      <c r="C79" s="32" t="s">
        <v>409</v>
      </c>
    </row>
    <row r="80" spans="1:4">
      <c r="A80" s="5" t="s">
        <v>416</v>
      </c>
      <c r="B80" s="4" t="s">
        <v>414</v>
      </c>
      <c r="C80" s="32" t="s">
        <v>415</v>
      </c>
    </row>
    <row r="81" spans="1:3">
      <c r="A81" s="5" t="s">
        <v>417</v>
      </c>
      <c r="B81" s="4" t="s">
        <v>418</v>
      </c>
      <c r="C81" s="32" t="s">
        <v>2325</v>
      </c>
    </row>
    <row r="82" spans="1:3">
      <c r="A82" s="5" t="s">
        <v>419</v>
      </c>
      <c r="B82" s="4" t="s">
        <v>419</v>
      </c>
      <c r="C82" s="32" t="s">
        <v>420</v>
      </c>
    </row>
    <row r="83" spans="1:3">
      <c r="A83" s="5" t="s">
        <v>2863</v>
      </c>
      <c r="B83" s="4" t="s">
        <v>18</v>
      </c>
      <c r="C83" s="32" t="s">
        <v>2864</v>
      </c>
    </row>
    <row r="84" spans="1:3">
      <c r="A84" s="5" t="s">
        <v>2863</v>
      </c>
      <c r="B84" s="4" t="s">
        <v>2866</v>
      </c>
      <c r="C84" s="32" t="s">
        <v>2865</v>
      </c>
    </row>
  </sheetData>
  <sortState ref="A3:C22">
    <sortCondition ref="A3:A22"/>
  </sortState>
  <conditionalFormatting sqref="A1:XFD1048576">
    <cfRule type="expression" dxfId="5" priority="1">
      <formula>MOD(ROW(),2)=0</formula>
    </cfRule>
  </conditionalFormatting>
  <hyperlinks>
    <hyperlink ref="A48" r:id="rId1"/>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0"/>
    <pageSetUpPr autoPageBreaks="0"/>
  </sheetPr>
  <dimension ref="A1:IV91"/>
  <sheetViews>
    <sheetView workbookViewId="0">
      <pane ySplit="2" topLeftCell="A57" activePane="bottomLeft" state="frozen"/>
      <selection activeCell="B1046" sqref="B1046"/>
      <selection pane="bottomLeft" sqref="A1:E91"/>
    </sheetView>
  </sheetViews>
  <sheetFormatPr defaultRowHeight="15"/>
  <cols>
    <col min="1" max="1" width="22.7109375" style="37" customWidth="1"/>
    <col min="2" max="2" width="7.7109375" style="42" customWidth="1"/>
    <col min="3" max="3" width="17.28515625" style="80" customWidth="1"/>
    <col min="4" max="4" width="19.42578125" style="80" customWidth="1"/>
    <col min="5" max="5" width="34.28515625" style="37" customWidth="1"/>
    <col min="6" max="16384" width="9.140625" style="37"/>
  </cols>
  <sheetData>
    <row r="1" spans="1:256">
      <c r="A1" s="104" t="s">
        <v>3</v>
      </c>
      <c r="B1" s="104" t="s">
        <v>39</v>
      </c>
      <c r="C1" s="103" t="s">
        <v>40</v>
      </c>
      <c r="D1" s="103" t="s">
        <v>45</v>
      </c>
      <c r="E1" s="104"/>
      <c r="F1" s="35"/>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36"/>
      <c r="EQ1" s="36"/>
      <c r="ER1" s="36"/>
      <c r="ES1" s="36"/>
      <c r="ET1" s="36"/>
      <c r="EU1" s="36"/>
      <c r="EV1" s="36"/>
      <c r="EW1" s="36"/>
      <c r="EX1" s="36"/>
      <c r="EY1" s="36"/>
      <c r="EZ1" s="36"/>
      <c r="FA1" s="36"/>
      <c r="FB1" s="36"/>
      <c r="FC1" s="36"/>
      <c r="FD1" s="36"/>
      <c r="FE1" s="36"/>
      <c r="FF1" s="36"/>
      <c r="FG1" s="36"/>
      <c r="FH1" s="36"/>
      <c r="FI1" s="36"/>
      <c r="FJ1" s="36"/>
      <c r="FK1" s="36"/>
      <c r="FL1" s="36"/>
      <c r="FM1" s="36"/>
      <c r="FN1" s="36"/>
      <c r="FO1" s="36"/>
      <c r="FP1" s="36"/>
      <c r="FQ1" s="36"/>
      <c r="FR1" s="36"/>
      <c r="FS1" s="36"/>
      <c r="FT1" s="36"/>
      <c r="FU1" s="36"/>
      <c r="FV1" s="36"/>
      <c r="FW1" s="36"/>
      <c r="FX1" s="36"/>
      <c r="FY1" s="36"/>
      <c r="FZ1" s="36"/>
      <c r="GA1" s="36"/>
      <c r="GB1" s="36"/>
      <c r="GC1" s="36"/>
      <c r="GD1" s="36"/>
      <c r="GE1" s="36"/>
      <c r="GF1" s="36"/>
      <c r="GG1" s="36"/>
      <c r="GH1" s="36"/>
      <c r="GI1" s="36"/>
      <c r="GJ1" s="36"/>
      <c r="GK1" s="36"/>
      <c r="GL1" s="36"/>
      <c r="GM1" s="36"/>
      <c r="GN1" s="36"/>
      <c r="GO1" s="36"/>
      <c r="GP1" s="36"/>
      <c r="GQ1" s="36"/>
      <c r="GR1" s="36"/>
      <c r="GS1" s="36"/>
      <c r="GT1" s="36"/>
      <c r="GU1" s="36"/>
      <c r="GV1" s="36"/>
      <c r="GW1" s="36"/>
      <c r="GX1" s="36"/>
      <c r="GY1" s="36"/>
      <c r="GZ1" s="36"/>
      <c r="HA1" s="36"/>
      <c r="HB1" s="36"/>
      <c r="HC1" s="36"/>
      <c r="HD1" s="36"/>
      <c r="HE1" s="36"/>
      <c r="HF1" s="36"/>
      <c r="HG1" s="36"/>
      <c r="HH1" s="36"/>
      <c r="HI1" s="36"/>
      <c r="HJ1" s="36"/>
      <c r="HK1" s="36"/>
      <c r="HL1" s="36"/>
      <c r="HM1" s="36"/>
      <c r="HN1" s="36"/>
      <c r="HO1" s="36"/>
      <c r="HP1" s="36"/>
      <c r="HQ1" s="36"/>
      <c r="HR1" s="36"/>
      <c r="HS1" s="36"/>
      <c r="HT1" s="36"/>
      <c r="HU1" s="36"/>
      <c r="HV1" s="36"/>
      <c r="HW1" s="36"/>
      <c r="HX1" s="36"/>
      <c r="HY1" s="36"/>
      <c r="HZ1" s="36"/>
      <c r="IA1" s="36"/>
      <c r="IB1" s="36"/>
      <c r="IC1" s="36"/>
      <c r="ID1" s="36"/>
      <c r="IE1" s="36"/>
      <c r="IF1" s="36"/>
      <c r="IG1" s="36"/>
      <c r="IH1" s="36"/>
      <c r="II1" s="36"/>
      <c r="IJ1" s="36"/>
      <c r="IK1" s="36"/>
      <c r="IL1" s="36"/>
      <c r="IM1" s="36"/>
      <c r="IN1" s="36"/>
      <c r="IO1" s="36"/>
      <c r="IP1" s="36"/>
      <c r="IQ1" s="36"/>
      <c r="IR1" s="36"/>
      <c r="IS1" s="36"/>
      <c r="IT1" s="36"/>
      <c r="IU1" s="36"/>
      <c r="IV1" s="36"/>
    </row>
    <row r="2" spans="1:256">
      <c r="A2" s="104"/>
      <c r="B2" s="104"/>
      <c r="C2" s="103"/>
      <c r="D2" s="103"/>
      <c r="E2" s="104"/>
      <c r="F2" s="35"/>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row>
    <row r="3" spans="1:256">
      <c r="A3" s="37" t="s">
        <v>382</v>
      </c>
      <c r="B3" s="42" t="s">
        <v>383</v>
      </c>
      <c r="C3" s="80" t="s">
        <v>392</v>
      </c>
      <c r="D3" s="80" t="s">
        <v>385</v>
      </c>
    </row>
    <row r="4" spans="1:256">
      <c r="A4" s="38" t="s">
        <v>10</v>
      </c>
      <c r="B4" s="39" t="s">
        <v>22</v>
      </c>
      <c r="C4" s="81" t="s">
        <v>269</v>
      </c>
      <c r="D4" s="81" t="s">
        <v>47</v>
      </c>
      <c r="E4" s="38"/>
    </row>
    <row r="5" spans="1:256">
      <c r="A5" s="38" t="s">
        <v>11</v>
      </c>
      <c r="B5" s="39" t="s">
        <v>17</v>
      </c>
      <c r="C5" s="81" t="s">
        <v>270</v>
      </c>
      <c r="D5" s="81" t="s">
        <v>48</v>
      </c>
      <c r="E5" s="38"/>
    </row>
    <row r="6" spans="1:256">
      <c r="A6" s="38" t="s">
        <v>139</v>
      </c>
      <c r="B6" s="39" t="s">
        <v>163</v>
      </c>
      <c r="C6" s="81" t="s">
        <v>271</v>
      </c>
      <c r="D6" s="81" t="s">
        <v>48</v>
      </c>
      <c r="E6" s="38"/>
    </row>
    <row r="7" spans="1:256">
      <c r="A7" s="40" t="s">
        <v>23</v>
      </c>
      <c r="B7" s="39" t="s">
        <v>24</v>
      </c>
      <c r="C7" s="81" t="s">
        <v>272</v>
      </c>
      <c r="D7" s="81" t="s">
        <v>48</v>
      </c>
      <c r="E7" s="38"/>
    </row>
    <row r="8" spans="1:256">
      <c r="A8" s="38" t="s">
        <v>25</v>
      </c>
      <c r="B8" s="39" t="s">
        <v>26</v>
      </c>
      <c r="C8" s="81" t="s">
        <v>273</v>
      </c>
      <c r="D8" s="81" t="s">
        <v>46</v>
      </c>
      <c r="E8" s="38"/>
    </row>
    <row r="9" spans="1:256">
      <c r="A9" s="38" t="s">
        <v>27</v>
      </c>
      <c r="B9" s="39" t="s">
        <v>28</v>
      </c>
      <c r="C9" s="81" t="s">
        <v>274</v>
      </c>
      <c r="D9" s="81" t="s">
        <v>47</v>
      </c>
      <c r="E9" s="38"/>
    </row>
    <row r="10" spans="1:256">
      <c r="A10" s="38" t="s">
        <v>30</v>
      </c>
      <c r="B10" s="39" t="s">
        <v>31</v>
      </c>
      <c r="C10" s="81" t="s">
        <v>333</v>
      </c>
      <c r="D10" s="81" t="s">
        <v>48</v>
      </c>
      <c r="E10" s="38"/>
    </row>
    <row r="11" spans="1:256">
      <c r="A11" s="38" t="s">
        <v>12</v>
      </c>
      <c r="B11" s="39" t="s">
        <v>33</v>
      </c>
      <c r="C11" s="81" t="s">
        <v>275</v>
      </c>
      <c r="D11" s="81" t="s">
        <v>46</v>
      </c>
      <c r="E11" s="38"/>
    </row>
    <row r="12" spans="1:256">
      <c r="A12" s="38" t="s">
        <v>13</v>
      </c>
      <c r="B12" s="39" t="s">
        <v>34</v>
      </c>
      <c r="C12" s="81" t="s">
        <v>276</v>
      </c>
      <c r="D12" s="81" t="s">
        <v>47</v>
      </c>
      <c r="E12" s="38"/>
    </row>
    <row r="13" spans="1:256">
      <c r="A13" s="40" t="s">
        <v>14</v>
      </c>
      <c r="B13" s="39" t="s">
        <v>20</v>
      </c>
      <c r="C13" s="81" t="s">
        <v>277</v>
      </c>
      <c r="D13" s="81" t="s">
        <v>46</v>
      </c>
      <c r="E13" s="38"/>
    </row>
    <row r="14" spans="1:256">
      <c r="A14" s="38" t="s">
        <v>15</v>
      </c>
      <c r="B14" s="39" t="s">
        <v>35</v>
      </c>
      <c r="C14" s="81" t="s">
        <v>278</v>
      </c>
      <c r="D14" s="81" t="s">
        <v>48</v>
      </c>
      <c r="E14" s="38"/>
    </row>
    <row r="15" spans="1:256">
      <c r="A15" s="38" t="s">
        <v>8</v>
      </c>
      <c r="B15" s="39" t="s">
        <v>21</v>
      </c>
      <c r="C15" s="81" t="s">
        <v>279</v>
      </c>
      <c r="D15" s="81" t="s">
        <v>46</v>
      </c>
      <c r="E15" s="38"/>
    </row>
    <row r="16" spans="1:256">
      <c r="A16" s="38" t="s">
        <v>16</v>
      </c>
      <c r="B16" s="39" t="s">
        <v>36</v>
      </c>
      <c r="C16" s="81" t="s">
        <v>280</v>
      </c>
      <c r="D16" s="81" t="s">
        <v>47</v>
      </c>
      <c r="E16" s="38"/>
    </row>
    <row r="17" spans="1:6">
      <c r="A17" s="38" t="s">
        <v>205</v>
      </c>
      <c r="B17" s="39" t="s">
        <v>200</v>
      </c>
      <c r="C17" s="81" t="s">
        <v>281</v>
      </c>
      <c r="D17" s="81"/>
      <c r="E17" s="38"/>
    </row>
    <row r="18" spans="1:6">
      <c r="A18" s="40" t="s">
        <v>43</v>
      </c>
      <c r="B18" s="39" t="s">
        <v>32</v>
      </c>
      <c r="C18" s="81" t="s">
        <v>282</v>
      </c>
      <c r="D18" s="81" t="s">
        <v>48</v>
      </c>
      <c r="E18" s="38"/>
    </row>
    <row r="19" spans="1:6">
      <c r="A19" s="38" t="s">
        <v>44</v>
      </c>
      <c r="B19" s="39" t="s">
        <v>41</v>
      </c>
      <c r="C19" s="81" t="s">
        <v>283</v>
      </c>
      <c r="D19" s="81" t="s">
        <v>47</v>
      </c>
      <c r="E19" s="38"/>
    </row>
    <row r="20" spans="1:6">
      <c r="A20" s="38" t="s">
        <v>204</v>
      </c>
      <c r="B20" s="39" t="s">
        <v>42</v>
      </c>
      <c r="C20" s="81" t="s">
        <v>284</v>
      </c>
      <c r="D20" s="81" t="s">
        <v>46</v>
      </c>
      <c r="E20" s="38"/>
    </row>
    <row r="21" spans="1:6">
      <c r="A21" s="38" t="s">
        <v>260</v>
      </c>
      <c r="B21" s="39" t="s">
        <v>29</v>
      </c>
      <c r="C21" s="81" t="s">
        <v>285</v>
      </c>
      <c r="D21" s="81" t="s">
        <v>48</v>
      </c>
      <c r="E21" s="38"/>
    </row>
    <row r="22" spans="1:6">
      <c r="A22" s="38" t="s">
        <v>202</v>
      </c>
      <c r="B22" s="39" t="s">
        <v>201</v>
      </c>
      <c r="C22" s="81" t="s">
        <v>286</v>
      </c>
      <c r="D22" s="81" t="s">
        <v>47</v>
      </c>
      <c r="E22" s="38"/>
      <c r="F22" s="37" t="s">
        <v>162</v>
      </c>
    </row>
    <row r="23" spans="1:6">
      <c r="A23" s="38" t="s">
        <v>37</v>
      </c>
      <c r="B23" s="39" t="s">
        <v>38</v>
      </c>
      <c r="C23" s="81" t="s">
        <v>287</v>
      </c>
      <c r="D23" s="81" t="s">
        <v>46</v>
      </c>
      <c r="E23" s="38"/>
    </row>
    <row r="24" spans="1:6">
      <c r="A24" s="38"/>
      <c r="B24" s="39"/>
      <c r="C24" s="81"/>
      <c r="D24" s="81"/>
      <c r="E24" s="38"/>
    </row>
    <row r="25" spans="1:6">
      <c r="A25" s="41" t="s">
        <v>83</v>
      </c>
      <c r="B25" s="39"/>
      <c r="C25" s="82" t="s">
        <v>421</v>
      </c>
      <c r="D25" s="82" t="s">
        <v>288</v>
      </c>
      <c r="E25" s="38"/>
    </row>
    <row r="26" spans="1:6">
      <c r="A26" s="38" t="s">
        <v>84</v>
      </c>
      <c r="B26" s="39"/>
      <c r="C26" s="81" t="s">
        <v>289</v>
      </c>
      <c r="D26" s="82" t="s">
        <v>154</v>
      </c>
      <c r="E26" s="38"/>
    </row>
    <row r="27" spans="1:6">
      <c r="A27" s="38"/>
      <c r="B27" s="39"/>
      <c r="C27" s="81"/>
      <c r="D27" s="81"/>
      <c r="E27" s="38"/>
    </row>
    <row r="28" spans="1:6">
      <c r="A28" s="38" t="s">
        <v>55</v>
      </c>
      <c r="B28" s="39"/>
      <c r="C28" s="81" t="s">
        <v>89</v>
      </c>
      <c r="D28" s="81"/>
      <c r="E28" s="38" t="s">
        <v>90</v>
      </c>
    </row>
    <row r="29" spans="1:6">
      <c r="A29" s="38"/>
      <c r="B29" s="39"/>
      <c r="C29" s="81"/>
      <c r="D29" s="81"/>
      <c r="E29" s="38"/>
    </row>
    <row r="30" spans="1:6">
      <c r="A30" s="38" t="s">
        <v>91</v>
      </c>
      <c r="B30" s="39"/>
      <c r="C30" s="81" t="s">
        <v>290</v>
      </c>
      <c r="D30" s="81"/>
      <c r="E30" s="38"/>
    </row>
    <row r="31" spans="1:6">
      <c r="A31" s="38"/>
      <c r="B31" s="39"/>
      <c r="C31" s="81"/>
      <c r="D31" s="81"/>
      <c r="E31" s="38"/>
    </row>
    <row r="32" spans="1:6">
      <c r="A32" s="38" t="s">
        <v>119</v>
      </c>
      <c r="B32" s="39"/>
      <c r="C32" s="83">
        <v>1008054</v>
      </c>
      <c r="D32" s="83"/>
      <c r="E32" s="3" t="s">
        <v>340</v>
      </c>
    </row>
    <row r="33" spans="1:5">
      <c r="A33" s="38" t="s">
        <v>120</v>
      </c>
      <c r="B33" s="39"/>
      <c r="C33" s="83" t="s">
        <v>150</v>
      </c>
      <c r="D33" s="83"/>
      <c r="E33" s="38"/>
    </row>
    <row r="34" spans="1:5">
      <c r="A34" s="38" t="s">
        <v>203</v>
      </c>
      <c r="B34" s="39"/>
      <c r="C34" s="83">
        <v>1008069</v>
      </c>
      <c r="D34" s="83"/>
      <c r="E34" s="38"/>
    </row>
    <row r="35" spans="1:5">
      <c r="A35" s="38" t="s">
        <v>108</v>
      </c>
      <c r="B35" s="39"/>
      <c r="C35" s="83" t="s">
        <v>186</v>
      </c>
      <c r="D35" s="83"/>
      <c r="E35" s="38"/>
    </row>
    <row r="36" spans="1:5">
      <c r="A36" s="38" t="s">
        <v>117</v>
      </c>
      <c r="B36" s="39"/>
      <c r="C36" s="83">
        <v>1008025</v>
      </c>
      <c r="D36" s="83"/>
      <c r="E36" s="38"/>
    </row>
    <row r="37" spans="1:5">
      <c r="A37" s="38"/>
      <c r="B37" s="39"/>
      <c r="C37" s="83"/>
      <c r="D37" s="83"/>
      <c r="E37" s="38"/>
    </row>
    <row r="38" spans="1:5">
      <c r="A38" s="60"/>
      <c r="B38" s="39"/>
      <c r="C38" s="83"/>
      <c r="D38" s="83"/>
      <c r="E38" s="38"/>
    </row>
    <row r="39" spans="1:5">
      <c r="A39" s="60"/>
      <c r="B39" s="39"/>
      <c r="C39" s="83"/>
      <c r="D39" s="83"/>
      <c r="E39" s="38"/>
    </row>
    <row r="40" spans="1:5">
      <c r="A40" s="60"/>
      <c r="B40" s="39"/>
      <c r="C40" s="83"/>
      <c r="D40" s="83"/>
      <c r="E40" s="38"/>
    </row>
    <row r="41" spans="1:5">
      <c r="A41" s="38" t="s">
        <v>257</v>
      </c>
      <c r="B41" s="39"/>
      <c r="C41" s="83">
        <v>3349</v>
      </c>
      <c r="D41" s="83" t="s">
        <v>291</v>
      </c>
      <c r="E41" s="38"/>
    </row>
    <row r="42" spans="1:5">
      <c r="A42" s="38" t="s">
        <v>149</v>
      </c>
      <c r="B42" s="39"/>
      <c r="C42" s="83">
        <v>3760</v>
      </c>
      <c r="D42" s="83" t="s">
        <v>292</v>
      </c>
      <c r="E42" s="38"/>
    </row>
    <row r="43" spans="1:5">
      <c r="A43" s="38"/>
      <c r="B43" s="39"/>
      <c r="C43" s="83"/>
      <c r="D43" s="83"/>
      <c r="E43" s="38"/>
    </row>
    <row r="44" spans="1:5">
      <c r="A44" s="38" t="s">
        <v>124</v>
      </c>
      <c r="B44" s="39"/>
      <c r="C44" s="83">
        <v>3604</v>
      </c>
      <c r="D44" s="83">
        <v>3605</v>
      </c>
      <c r="E44" s="38"/>
    </row>
    <row r="45" spans="1:5">
      <c r="A45" s="38"/>
      <c r="B45" s="39"/>
      <c r="C45" s="83"/>
      <c r="D45" s="83"/>
      <c r="E45" s="38"/>
    </row>
    <row r="46" spans="1:5">
      <c r="A46" s="38" t="s">
        <v>142</v>
      </c>
      <c r="B46" s="39"/>
      <c r="C46" s="83" t="s">
        <v>148</v>
      </c>
      <c r="D46" s="83" t="s">
        <v>293</v>
      </c>
      <c r="E46" s="38"/>
    </row>
    <row r="47" spans="1:5">
      <c r="A47" s="38" t="s">
        <v>125</v>
      </c>
      <c r="B47" s="39"/>
      <c r="C47" s="83" t="s">
        <v>123</v>
      </c>
      <c r="D47" s="83" t="s">
        <v>294</v>
      </c>
      <c r="E47" s="38"/>
    </row>
    <row r="48" spans="1:5">
      <c r="A48" s="38" t="s">
        <v>143</v>
      </c>
      <c r="B48" s="39"/>
      <c r="C48" s="83" t="s">
        <v>144</v>
      </c>
      <c r="D48" s="83" t="s">
        <v>295</v>
      </c>
      <c r="E48" s="38"/>
    </row>
    <row r="49" spans="1:5">
      <c r="A49" s="38" t="s">
        <v>145</v>
      </c>
      <c r="B49" s="39"/>
      <c r="C49" s="83">
        <v>3436</v>
      </c>
      <c r="D49" s="83" t="s">
        <v>296</v>
      </c>
      <c r="E49" s="38"/>
    </row>
    <row r="50" spans="1:5">
      <c r="A50" s="38" t="s">
        <v>146</v>
      </c>
      <c r="B50" s="39"/>
      <c r="C50" s="83">
        <v>3433</v>
      </c>
      <c r="D50" s="83" t="s">
        <v>297</v>
      </c>
      <c r="E50" s="38"/>
    </row>
    <row r="51" spans="1:5">
      <c r="A51" s="38" t="s">
        <v>147</v>
      </c>
      <c r="B51" s="39"/>
      <c r="C51" s="83">
        <v>3376</v>
      </c>
      <c r="D51" s="83" t="s">
        <v>298</v>
      </c>
      <c r="E51" s="38"/>
    </row>
    <row r="52" spans="1:5">
      <c r="A52" s="37" t="s">
        <v>151</v>
      </c>
      <c r="C52" s="83"/>
      <c r="D52" s="83" t="s">
        <v>299</v>
      </c>
    </row>
    <row r="53" spans="1:5">
      <c r="A53" s="38"/>
      <c r="B53" s="39"/>
      <c r="C53" s="83"/>
      <c r="D53" s="83"/>
      <c r="E53" s="38"/>
    </row>
    <row r="54" spans="1:5">
      <c r="A54" s="38" t="s">
        <v>126</v>
      </c>
      <c r="B54" s="39"/>
      <c r="C54" s="83" t="s">
        <v>300</v>
      </c>
      <c r="D54" s="83"/>
      <c r="E54" s="38" t="s">
        <v>137</v>
      </c>
    </row>
    <row r="55" spans="1:5">
      <c r="A55" s="38" t="s">
        <v>133</v>
      </c>
      <c r="B55" s="39"/>
      <c r="C55" s="83" t="s">
        <v>134</v>
      </c>
      <c r="D55" s="83"/>
      <c r="E55" s="38"/>
    </row>
    <row r="56" spans="1:5">
      <c r="A56" s="38" t="s">
        <v>135</v>
      </c>
      <c r="B56" s="39"/>
      <c r="C56" s="83" t="s">
        <v>136</v>
      </c>
      <c r="D56" s="83"/>
      <c r="E56" s="60" t="s">
        <v>171</v>
      </c>
    </row>
    <row r="57" spans="1:5">
      <c r="A57" s="38"/>
      <c r="C57" s="83"/>
      <c r="D57" s="83"/>
    </row>
    <row r="58" spans="1:5">
      <c r="A58" s="47"/>
      <c r="B58" s="47"/>
      <c r="C58" s="83"/>
      <c r="D58" s="83"/>
    </row>
    <row r="59" spans="1:5">
      <c r="A59" s="37" t="s">
        <v>211</v>
      </c>
      <c r="C59" s="83">
        <v>3999</v>
      </c>
      <c r="D59" s="83" t="s">
        <v>212</v>
      </c>
      <c r="E59" s="38"/>
    </row>
    <row r="60" spans="1:5">
      <c r="A60" s="38"/>
      <c r="B60" s="39"/>
      <c r="C60" s="83"/>
      <c r="D60" s="83"/>
      <c r="E60" s="38"/>
    </row>
    <row r="61" spans="1:5">
      <c r="A61" s="105" t="s">
        <v>229</v>
      </c>
      <c r="B61" s="105"/>
      <c r="C61" s="105"/>
      <c r="D61" s="81"/>
      <c r="E61" s="38"/>
    </row>
    <row r="62" spans="1:5">
      <c r="A62" s="41" t="s">
        <v>220</v>
      </c>
      <c r="B62" s="41"/>
      <c r="C62" s="82" t="s">
        <v>301</v>
      </c>
      <c r="D62" s="81"/>
      <c r="E62" s="38"/>
    </row>
    <row r="63" spans="1:5">
      <c r="A63" s="38" t="s">
        <v>221</v>
      </c>
      <c r="B63" s="38"/>
      <c r="C63" s="81" t="s">
        <v>302</v>
      </c>
      <c r="D63" s="81"/>
      <c r="E63" s="38"/>
    </row>
    <row r="64" spans="1:5">
      <c r="A64" s="38" t="s">
        <v>222</v>
      </c>
      <c r="B64" s="38"/>
      <c r="C64" s="81" t="s">
        <v>303</v>
      </c>
    </row>
    <row r="65" spans="1:3">
      <c r="A65" s="38" t="s">
        <v>223</v>
      </c>
      <c r="B65" s="38"/>
      <c r="C65" s="81" t="s">
        <v>304</v>
      </c>
    </row>
    <row r="66" spans="1:3">
      <c r="A66" s="38" t="s">
        <v>224</v>
      </c>
      <c r="B66" s="38"/>
      <c r="C66" s="81"/>
    </row>
    <row r="67" spans="1:3">
      <c r="A67" s="38" t="s">
        <v>225</v>
      </c>
      <c r="B67" s="38"/>
      <c r="C67" s="81" t="s">
        <v>305</v>
      </c>
    </row>
    <row r="68" spans="1:3">
      <c r="A68" s="38" t="s">
        <v>226</v>
      </c>
      <c r="B68" s="38"/>
      <c r="C68" s="81" t="s">
        <v>323</v>
      </c>
    </row>
    <row r="69" spans="1:3">
      <c r="A69" s="38" t="s">
        <v>227</v>
      </c>
      <c r="B69" s="38"/>
      <c r="C69" s="81" t="s">
        <v>306</v>
      </c>
    </row>
    <row r="70" spans="1:3">
      <c r="A70" s="38" t="s">
        <v>228</v>
      </c>
      <c r="B70" s="38"/>
      <c r="C70" s="81" t="s">
        <v>307</v>
      </c>
    </row>
    <row r="71" spans="1:3">
      <c r="A71" s="105" t="s">
        <v>230</v>
      </c>
      <c r="B71" s="105"/>
      <c r="C71" s="105"/>
    </row>
    <row r="72" spans="1:3">
      <c r="A72" s="61" t="s">
        <v>232</v>
      </c>
      <c r="B72" s="61"/>
      <c r="C72" s="82" t="s">
        <v>309</v>
      </c>
    </row>
    <row r="73" spans="1:3">
      <c r="A73" s="38" t="s">
        <v>231</v>
      </c>
      <c r="B73" s="38"/>
      <c r="C73" s="81" t="s">
        <v>308</v>
      </c>
    </row>
    <row r="74" spans="1:3">
      <c r="A74" s="38" t="s">
        <v>233</v>
      </c>
      <c r="B74" s="38"/>
      <c r="C74" s="81" t="s">
        <v>310</v>
      </c>
    </row>
    <row r="75" spans="1:3">
      <c r="A75" s="38" t="s">
        <v>234</v>
      </c>
      <c r="B75" s="38"/>
      <c r="C75" s="81" t="s">
        <v>311</v>
      </c>
    </row>
    <row r="76" spans="1:3">
      <c r="A76" s="38" t="s">
        <v>235</v>
      </c>
      <c r="B76" s="38"/>
      <c r="C76" s="81" t="s">
        <v>312</v>
      </c>
    </row>
    <row r="77" spans="1:3">
      <c r="A77" s="38" t="s">
        <v>236</v>
      </c>
      <c r="B77" s="38"/>
      <c r="C77" s="81" t="s">
        <v>313</v>
      </c>
    </row>
    <row r="78" spans="1:3">
      <c r="A78" s="38" t="s">
        <v>237</v>
      </c>
      <c r="B78" s="38"/>
      <c r="C78" s="81" t="s">
        <v>314</v>
      </c>
    </row>
    <row r="79" spans="1:3">
      <c r="A79" s="38" t="s">
        <v>238</v>
      </c>
      <c r="B79" s="38"/>
      <c r="C79" s="81" t="s">
        <v>315</v>
      </c>
    </row>
    <row r="80" spans="1:3">
      <c r="A80" s="105" t="s">
        <v>239</v>
      </c>
      <c r="B80" s="105"/>
      <c r="C80" s="105"/>
    </row>
    <row r="81" spans="1:3">
      <c r="A81" s="41" t="s">
        <v>240</v>
      </c>
      <c r="B81" s="41"/>
      <c r="C81" s="82" t="s">
        <v>316</v>
      </c>
    </row>
    <row r="82" spans="1:3">
      <c r="A82" s="38" t="s">
        <v>241</v>
      </c>
      <c r="B82" s="38"/>
      <c r="C82" s="81" t="s">
        <v>317</v>
      </c>
    </row>
    <row r="83" spans="1:3">
      <c r="A83" s="38" t="s">
        <v>242</v>
      </c>
      <c r="B83" s="38"/>
      <c r="C83" s="81" t="s">
        <v>318</v>
      </c>
    </row>
    <row r="84" spans="1:3">
      <c r="A84" s="38" t="s">
        <v>243</v>
      </c>
      <c r="B84" s="38"/>
      <c r="C84" s="81" t="s">
        <v>319</v>
      </c>
    </row>
    <row r="85" spans="1:3">
      <c r="A85" s="60" t="s">
        <v>244</v>
      </c>
      <c r="B85" s="38"/>
      <c r="C85" s="81" t="s">
        <v>320</v>
      </c>
    </row>
    <row r="86" spans="1:3">
      <c r="A86" s="38" t="s">
        <v>245</v>
      </c>
      <c r="B86" s="38"/>
      <c r="C86" s="81" t="s">
        <v>321</v>
      </c>
    </row>
    <row r="87" spans="1:3">
      <c r="A87" s="38" t="s">
        <v>246</v>
      </c>
      <c r="B87" s="38"/>
      <c r="C87" s="81" t="s">
        <v>322</v>
      </c>
    </row>
    <row r="88" spans="1:3">
      <c r="A88" s="43"/>
      <c r="B88" s="44"/>
    </row>
    <row r="89" spans="1:3">
      <c r="A89" s="45"/>
      <c r="B89" s="46"/>
    </row>
    <row r="90" spans="1:3">
      <c r="A90" s="37" t="s">
        <v>251</v>
      </c>
      <c r="C90" s="80" t="s">
        <v>258</v>
      </c>
    </row>
    <row r="91" spans="1:3">
      <c r="A91" s="37" t="s">
        <v>250</v>
      </c>
      <c r="C91" s="80" t="s">
        <v>252</v>
      </c>
    </row>
  </sheetData>
  <sortState ref="A4:E22">
    <sortCondition ref="A3"/>
  </sortState>
  <mergeCells count="8">
    <mergeCell ref="D1:D2"/>
    <mergeCell ref="E1:E2"/>
    <mergeCell ref="A61:C61"/>
    <mergeCell ref="A71:C71"/>
    <mergeCell ref="A80:C80"/>
    <mergeCell ref="B1:B2"/>
    <mergeCell ref="C1:C2"/>
    <mergeCell ref="A1:A2"/>
  </mergeCells>
  <conditionalFormatting sqref="A41:XFD1048576 A1:XFD37 D38:XFD40">
    <cfRule type="expression" dxfId="4" priority="3">
      <formula>MOD(ROW(),2)=0</formula>
    </cfRule>
  </conditionalFormatting>
  <conditionalFormatting sqref="A38:C40">
    <cfRule type="expression" dxfId="3" priority="1">
      <formula>MOD(ROW(),2)=0</formula>
    </cfRule>
  </conditionalFormatting>
  <pageMargins left="0.7" right="0.7" top="0.75" bottom="0.75" header="0.3" footer="0.3"/>
  <pageSetup orientation="portrait" r:id="rId1"/>
  <ignoredErrors>
    <ignoredError sqref="C33 C55 C35 C46:C48" numberStoredAsText="1"/>
  </ignoredErrors>
  <drawing r:id="rId2"/>
  <legacyDrawing r:id="rId3"/>
  <controls>
    <mc:AlternateContent xmlns:mc="http://schemas.openxmlformats.org/markup-compatibility/2006">
      <mc:Choice Requires="x14">
        <control shapeId="9217" r:id="rId4" name="CommandButton1">
          <controlPr defaultSize="0" autoLine="0" r:id="rId5">
            <anchor moveWithCells="1" sizeWithCells="1">
              <from>
                <xdr:col>4</xdr:col>
                <xdr:colOff>1895475</xdr:colOff>
                <xdr:row>0</xdr:row>
                <xdr:rowOff>9525</xdr:rowOff>
              </from>
              <to>
                <xdr:col>4</xdr:col>
                <xdr:colOff>2257425</xdr:colOff>
                <xdr:row>1</xdr:row>
                <xdr:rowOff>180975</xdr:rowOff>
              </to>
            </anchor>
          </controlPr>
        </control>
      </mc:Choice>
      <mc:Fallback>
        <control shapeId="9217"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A1:X36"/>
  <sheetViews>
    <sheetView zoomScaleNormal="100" workbookViewId="0">
      <selection activeCell="A2" sqref="A2"/>
    </sheetView>
  </sheetViews>
  <sheetFormatPr defaultRowHeight="15"/>
  <cols>
    <col min="1" max="1" width="14" style="15" bestFit="1" customWidth="1"/>
    <col min="2" max="3" width="11.140625" style="15" customWidth="1"/>
    <col min="4" max="4" width="11.42578125" style="15" customWidth="1"/>
    <col min="5" max="5" width="18.5703125" style="15" customWidth="1"/>
    <col min="6" max="6" width="17.42578125" style="15" customWidth="1"/>
    <col min="7" max="7" width="15" style="15" customWidth="1"/>
    <col min="8" max="8" width="10.5703125" style="20" bestFit="1" customWidth="1"/>
    <col min="9" max="9" width="8.85546875" style="20" customWidth="1"/>
    <col min="10" max="10" width="9.140625" style="20"/>
    <col min="11" max="11" width="10.140625" style="18" bestFit="1" customWidth="1"/>
    <col min="12" max="14" width="9.140625" style="20"/>
    <col min="15" max="15" width="7.28515625" style="21" customWidth="1"/>
    <col min="16" max="16" width="21.42578125" style="21" customWidth="1"/>
    <col min="17" max="17" width="27.28515625" style="21" customWidth="1"/>
    <col min="18" max="18" width="35.140625" style="21" customWidth="1"/>
    <col min="19" max="19" width="9.140625" style="21"/>
    <col min="20" max="24" width="9.140625" style="20"/>
    <col min="25" max="16384" width="9.140625" style="15"/>
  </cols>
  <sheetData>
    <row r="1" spans="1:24" s="13" customFormat="1">
      <c r="A1" s="13" t="s">
        <v>99</v>
      </c>
      <c r="B1" s="13" t="s">
        <v>96</v>
      </c>
      <c r="C1" s="13" t="s">
        <v>3</v>
      </c>
      <c r="D1" s="13" t="s">
        <v>95</v>
      </c>
      <c r="E1" s="13" t="s">
        <v>97</v>
      </c>
      <c r="F1" s="13" t="s">
        <v>94</v>
      </c>
      <c r="G1" s="13" t="s">
        <v>98</v>
      </c>
      <c r="H1" s="17"/>
      <c r="I1" s="17"/>
      <c r="J1" s="17"/>
      <c r="K1" s="18" t="str">
        <f>IF(B2=0,"",B2)</f>
        <v/>
      </c>
      <c r="L1" s="19" t="str">
        <f>TEXT(K1,"[$-409]h:mm AM/PM;@")</f>
        <v/>
      </c>
      <c r="M1" s="19" t="str">
        <f>TEXT(D2,"[$-409]h:mm AM/PM;@")</f>
        <v>12:00 AM</v>
      </c>
      <c r="N1" s="18" t="str">
        <f>IF(D2&gt;0,M1 &amp; " / " &amp; G2,"")</f>
        <v/>
      </c>
      <c r="O1" s="25" t="s">
        <v>173</v>
      </c>
      <c r="P1" s="25" t="s">
        <v>176</v>
      </c>
      <c r="Q1" s="25" t="s">
        <v>177</v>
      </c>
      <c r="R1" s="25" t="s">
        <v>178</v>
      </c>
      <c r="S1" s="25" t="s">
        <v>179</v>
      </c>
      <c r="T1" s="17"/>
      <c r="U1" s="17"/>
      <c r="V1" s="17"/>
      <c r="W1" s="17"/>
      <c r="X1" s="17"/>
    </row>
    <row r="2" spans="1:24" s="14" customFormat="1">
      <c r="A2" s="24"/>
      <c r="B2" s="75"/>
      <c r="C2" s="24"/>
      <c r="D2" s="75"/>
      <c r="E2" s="79"/>
      <c r="F2" s="79"/>
      <c r="G2" s="14" t="str">
        <f>IF(H4&gt;0,H6,I5)</f>
        <v>0 min</v>
      </c>
      <c r="H2" s="20">
        <f>HOUR(D2)</f>
        <v>0</v>
      </c>
      <c r="I2" s="20">
        <f>MINUTE(D2)</f>
        <v>0</v>
      </c>
      <c r="J2" s="18"/>
      <c r="K2" s="18"/>
      <c r="L2" s="20"/>
      <c r="M2" s="19"/>
      <c r="N2" s="18"/>
      <c r="O2" s="26" t="s">
        <v>175</v>
      </c>
      <c r="P2" s="27" t="str">
        <f>IF(C6="Yes",C2 &amp; " - " &amp; A7 &amp; " - RESOLVED",C2 &amp; " - " &amp; A7)</f>
        <v xml:space="preserve"> - </v>
      </c>
      <c r="Q2" s="27">
        <f>A9</f>
        <v>0</v>
      </c>
      <c r="R2" s="27">
        <f>A12</f>
        <v>0</v>
      </c>
      <c r="S2" s="26" t="s">
        <v>180</v>
      </c>
      <c r="T2" s="18"/>
      <c r="U2" s="18"/>
      <c r="V2" s="18"/>
      <c r="W2" s="18"/>
      <c r="X2" s="18"/>
    </row>
    <row r="3" spans="1:24">
      <c r="A3" s="13" t="str">
        <f>IF(OR(A2="VTIMs",A2="WIN",A2="WIN Pools",A2="WIN Blank"),"R&amp;S Class?","")</f>
        <v/>
      </c>
      <c r="C3" s="13" t="str">
        <f>IF(OR(A2="VTIMs",A2="WIN Restart",A2="WIN Pools"),"Hub?","")</f>
        <v/>
      </c>
      <c r="G3" s="15" t="str">
        <f>N1</f>
        <v/>
      </c>
      <c r="H3" s="20">
        <f>HOUR(B2)</f>
        <v>0</v>
      </c>
      <c r="I3" s="20">
        <f>MINUTE(B2)</f>
        <v>0</v>
      </c>
      <c r="K3" s="18" t="s">
        <v>155</v>
      </c>
      <c r="L3" s="22" t="s">
        <v>158</v>
      </c>
      <c r="M3" s="19"/>
      <c r="O3" s="26" t="s">
        <v>174</v>
      </c>
      <c r="P3" s="26" t="str">
        <f>C2 &amp; " - BP Cards Not Validating - RESOLVED"</f>
        <v xml:space="preserve"> - BP Cards Not Validating - RESOLVED</v>
      </c>
      <c r="Q3" s="26" t="str">
        <f>C2 &amp; " slots reported guests are getting 'validating card' error on slot machine boarding pass card readers."</f>
        <v xml:space="preserve"> slots reported guests are getting 'validating card' error on slot machine boarding pass card readers.</v>
      </c>
      <c r="R3" s="28" t="s">
        <v>156</v>
      </c>
      <c r="S3" s="26" t="s">
        <v>180</v>
      </c>
    </row>
    <row r="4" spans="1:24">
      <c r="A4" s="24"/>
      <c r="C4" s="62"/>
      <c r="H4" s="20">
        <f>IF(I2-I3&lt;0,(H2-H3)-1,H2-H3)</f>
        <v>0</v>
      </c>
      <c r="I4" s="20">
        <f>IF(I2-I3&lt;0,(I2-I3)+60,I2-I3)</f>
        <v>0</v>
      </c>
      <c r="K4" s="18" t="s">
        <v>22</v>
      </c>
      <c r="L4" s="21" t="s">
        <v>159</v>
      </c>
      <c r="O4" s="26" t="s">
        <v>182</v>
      </c>
      <c r="P4" s="26" t="s">
        <v>157</v>
      </c>
      <c r="Q4" s="26" t="s">
        <v>183</v>
      </c>
      <c r="R4" s="26" t="str">
        <f>IF(C4="Yes","After receiving permission from the Hub, managed to server and restarted the service. Leaving ticket in Race and Sports L2 for resolution and closure.","No answer from the Hub as they are currently closed. Managed to server and restarted the service. 
Leaving ticket in Race and Sports L2 for resolution and closure.")</f>
        <v>No answer from the Hub as they are currently closed. Managed to server and restarted the service. 
Leaving ticket in Race and Sports L2 for resolution and closure.</v>
      </c>
      <c r="S4" s="26" t="s">
        <v>181</v>
      </c>
    </row>
    <row r="5" spans="1:24">
      <c r="A5" s="24"/>
      <c r="B5" s="29"/>
      <c r="H5" s="20" t="str">
        <f>IF(H4&gt;1,H4 &amp; " hrs",H4 &amp; " hr")</f>
        <v>0 hr</v>
      </c>
      <c r="I5" s="20" t="str">
        <f>IF(I4&gt;1,I4 &amp; " mins",I4 &amp; " min")</f>
        <v>0 min</v>
      </c>
      <c r="K5" s="18" t="s">
        <v>17</v>
      </c>
      <c r="L5" s="21" t="s">
        <v>160</v>
      </c>
      <c r="O5" s="21" t="s">
        <v>339</v>
      </c>
      <c r="P5" s="27" t="str">
        <f>IF(C6="Yes",C2 &amp; " - " &amp; A7 &amp; " - RESOLVED",C2 &amp; " - " &amp; A7)</f>
        <v xml:space="preserve"> - </v>
      </c>
      <c r="Q5" s="21">
        <f>A9</f>
        <v>0</v>
      </c>
      <c r="R5" s="21">
        <f>A12</f>
        <v>0</v>
      </c>
      <c r="S5" s="26" t="s">
        <v>181</v>
      </c>
    </row>
    <row r="6" spans="1:24">
      <c r="A6" s="16" t="str">
        <f>IF(OR(A2="WIN",A2="Blank",A2="WIN Blank"),"Issue:","")</f>
        <v/>
      </c>
      <c r="B6" s="16" t="str">
        <f>IF(OR(A2="WIN",A2="Blank",A2="WIN Blank"),"Resolved:","")</f>
        <v/>
      </c>
      <c r="C6" s="62"/>
      <c r="D6" s="15" t="str">
        <f t="shared" ref="B6:G8" si="0">IF(D2&lt;&gt;"Blank","","Issue:")</f>
        <v/>
      </c>
      <c r="E6" s="15" t="str">
        <f t="shared" si="0"/>
        <v/>
      </c>
      <c r="F6" s="15" t="str">
        <f t="shared" si="0"/>
        <v/>
      </c>
      <c r="G6" s="15" t="str">
        <f t="shared" si="0"/>
        <v/>
      </c>
      <c r="H6" s="20" t="str">
        <f>IF(I4&gt;0,H5 &amp; " " &amp;I5,H5)</f>
        <v>0 hr</v>
      </c>
      <c r="K6" s="18" t="s">
        <v>161</v>
      </c>
      <c r="O6" s="21" t="s">
        <v>214</v>
      </c>
      <c r="P6" s="26" t="s">
        <v>157</v>
      </c>
      <c r="Q6" s="21" t="s">
        <v>213</v>
      </c>
      <c r="R6" s="26" t="str">
        <f>IF(C4="Yes","After receiving permission from the Hub, managed to server and restarted the 
service. Leaving ticket in Race and Sports L2 for resolution and closure.","No answer from the Hub as they are currently closed. Managed to server and restarted the service. 
Leaving ticket in Race and Sports L2 for resolution and closure.")</f>
        <v>No answer from the Hub as they are currently closed. Managed to server and restarted the service. 
Leaving ticket in Race and Sports L2 for resolution and closure.</v>
      </c>
      <c r="S6" s="26" t="s">
        <v>181</v>
      </c>
    </row>
    <row r="7" spans="1:24">
      <c r="A7" s="106"/>
      <c r="B7" s="107"/>
      <c r="C7" s="107"/>
      <c r="K7" s="18" t="s">
        <v>26</v>
      </c>
      <c r="O7" s="26" t="s">
        <v>338</v>
      </c>
      <c r="P7" s="26" t="s">
        <v>157</v>
      </c>
      <c r="Q7" s="28" t="s">
        <v>184</v>
      </c>
      <c r="R7" s="26" t="str">
        <f>IF(C4="Yes","After receiving permission from the Hub, managed to server and restarted the 
service. Leaving ticket in Race and Sports L2 for resolution and closure.","No answer from the Hub as they are currently closed. Managed to server and restarted the service. 
Leaving ticket in Race and Sports L2 for resolution and closure.")</f>
        <v>No answer from the Hub as they are currently closed. Managed to server and restarted the service. 
Leaving ticket in Race and Sports L2 for resolution and closure.</v>
      </c>
      <c r="S7" s="26" t="s">
        <v>181</v>
      </c>
    </row>
    <row r="8" spans="1:24">
      <c r="A8" s="108" t="str">
        <f>IF(OR(A2="WIN",A2="Blank",A2="WIN Blank"),"Issue Dec:","")</f>
        <v/>
      </c>
      <c r="B8" s="108" t="str">
        <f t="shared" si="0"/>
        <v/>
      </c>
      <c r="C8" s="108" t="str">
        <f t="shared" si="0"/>
        <v/>
      </c>
      <c r="D8" s="108" t="str">
        <f t="shared" si="0"/>
        <v/>
      </c>
      <c r="E8" s="108" t="str">
        <f t="shared" si="0"/>
        <v/>
      </c>
      <c r="F8" s="108" t="str">
        <f t="shared" si="0"/>
        <v/>
      </c>
      <c r="G8" s="108" t="str">
        <f t="shared" si="0"/>
        <v/>
      </c>
      <c r="K8" s="18" t="s">
        <v>28</v>
      </c>
    </row>
    <row r="9" spans="1:24">
      <c r="A9" s="109"/>
      <c r="B9" s="109"/>
      <c r="C9" s="109"/>
      <c r="D9" s="109"/>
      <c r="E9" s="109"/>
      <c r="F9" s="109"/>
      <c r="G9" s="109"/>
      <c r="K9" s="18" t="s">
        <v>33</v>
      </c>
    </row>
    <row r="10" spans="1:24">
      <c r="A10" s="109"/>
      <c r="B10" s="109"/>
      <c r="C10" s="109"/>
      <c r="D10" s="109"/>
      <c r="E10" s="109"/>
      <c r="F10" s="109"/>
      <c r="G10" s="109"/>
      <c r="K10" s="18" t="s">
        <v>34</v>
      </c>
      <c r="O10" s="21" t="str">
        <f>IF(A4="Yes","&lt;b&gt;Race and Sports Classification: &lt;/b&gt;" &amp; A5 &amp; O11 &amp; B5,"")</f>
        <v/>
      </c>
    </row>
    <row r="11" spans="1:24">
      <c r="A11" s="108" t="str">
        <f>IF(OR(A2="WIN",A2="Blank",A2="WIN Blank"),"Resolution:","")</f>
        <v/>
      </c>
      <c r="B11" s="108" t="str">
        <f t="shared" ref="B11:G11" si="1">IF(B7&lt;&gt;"Blank","","Issue:")</f>
        <v/>
      </c>
      <c r="C11" s="108" t="str">
        <f t="shared" si="1"/>
        <v/>
      </c>
      <c r="D11" s="108" t="str">
        <f t="shared" si="1"/>
        <v/>
      </c>
      <c r="E11" s="108" t="str">
        <f t="shared" si="1"/>
        <v/>
      </c>
      <c r="F11" s="108" t="str">
        <f t="shared" si="1"/>
        <v/>
      </c>
      <c r="G11" s="108" t="str">
        <f t="shared" si="1"/>
        <v/>
      </c>
      <c r="K11" s="18" t="s">
        <v>20</v>
      </c>
      <c r="O11" s="21" t="str">
        <f>IF(B5 &gt; 0," - ","")</f>
        <v/>
      </c>
    </row>
    <row r="12" spans="1:24">
      <c r="A12" s="109"/>
      <c r="B12" s="109"/>
      <c r="C12" s="109"/>
      <c r="D12" s="109"/>
      <c r="E12" s="109"/>
      <c r="F12" s="109"/>
      <c r="G12" s="109"/>
      <c r="K12" s="18" t="s">
        <v>35</v>
      </c>
      <c r="L12" s="20" t="s">
        <v>196</v>
      </c>
    </row>
    <row r="13" spans="1:24">
      <c r="A13" s="109"/>
      <c r="B13" s="109"/>
      <c r="C13" s="109"/>
      <c r="D13" s="109"/>
      <c r="E13" s="109"/>
      <c r="F13" s="109"/>
      <c r="G13" s="109"/>
      <c r="K13" s="18" t="s">
        <v>36</v>
      </c>
      <c r="L13" s="20" t="s">
        <v>188</v>
      </c>
    </row>
    <row r="14" spans="1:24" s="20" customFormat="1">
      <c r="B14" s="19"/>
      <c r="C14" s="19"/>
      <c r="K14" s="18" t="s">
        <v>21</v>
      </c>
      <c r="L14" s="20" t="s">
        <v>189</v>
      </c>
      <c r="O14" s="21"/>
      <c r="P14" s="21"/>
      <c r="Q14" s="21"/>
      <c r="R14" s="21"/>
      <c r="S14" s="21"/>
    </row>
    <row r="15" spans="1:24" s="20" customFormat="1">
      <c r="A15" s="19"/>
      <c r="B15" s="19"/>
      <c r="C15" s="19"/>
      <c r="D15" s="19"/>
      <c r="K15" s="18" t="s">
        <v>206</v>
      </c>
      <c r="L15" s="20" t="s">
        <v>190</v>
      </c>
      <c r="O15" s="21"/>
      <c r="P15" s="21"/>
      <c r="Q15" s="21"/>
      <c r="R15" s="21"/>
      <c r="S15" s="21"/>
    </row>
    <row r="16" spans="1:24" s="20" customFormat="1">
      <c r="A16" s="19"/>
      <c r="B16" s="19"/>
      <c r="C16" s="19"/>
      <c r="D16" s="19"/>
      <c r="K16" s="18" t="s">
        <v>207</v>
      </c>
      <c r="L16" s="20" t="s">
        <v>191</v>
      </c>
      <c r="O16" s="21"/>
      <c r="P16" s="21"/>
      <c r="Q16" s="21"/>
      <c r="R16" s="21"/>
      <c r="S16" s="21"/>
    </row>
    <row r="17" spans="1:19" s="20" customFormat="1">
      <c r="A17" s="19"/>
      <c r="B17" s="19"/>
      <c r="C17" s="19"/>
      <c r="D17" s="19"/>
      <c r="K17" s="18" t="s">
        <v>208</v>
      </c>
      <c r="L17" s="20" t="s">
        <v>192</v>
      </c>
      <c r="O17" s="21"/>
      <c r="P17" s="21"/>
      <c r="Q17" s="21"/>
      <c r="R17" s="21"/>
      <c r="S17" s="21"/>
    </row>
    <row r="18" spans="1:19" s="20" customFormat="1">
      <c r="K18" s="18" t="s">
        <v>187</v>
      </c>
      <c r="L18" s="20" t="s">
        <v>193</v>
      </c>
      <c r="O18" s="21"/>
      <c r="P18" s="21"/>
      <c r="Q18" s="21"/>
      <c r="R18" s="21"/>
      <c r="S18" s="21"/>
    </row>
    <row r="19" spans="1:19" s="20" customFormat="1" ht="20.25" customHeight="1">
      <c r="K19" s="18" t="s">
        <v>209</v>
      </c>
      <c r="L19" s="20" t="s">
        <v>194</v>
      </c>
      <c r="O19" s="21"/>
      <c r="P19" s="21"/>
      <c r="Q19" s="21"/>
      <c r="R19" s="21"/>
      <c r="S19" s="21"/>
    </row>
    <row r="20" spans="1:19" s="20" customFormat="1">
      <c r="A20" s="20" t="e">
        <f>VLOOKUP(A2,mail,2)</f>
        <v>#N/A</v>
      </c>
      <c r="K20" s="18" t="s">
        <v>210</v>
      </c>
      <c r="L20" s="20" t="s">
        <v>195</v>
      </c>
      <c r="O20" s="21"/>
      <c r="P20" s="21"/>
      <c r="Q20" s="21"/>
      <c r="R20" s="21"/>
      <c r="S20" s="21"/>
    </row>
    <row r="21" spans="1:19" s="20" customFormat="1">
      <c r="A21" s="20" t="e">
        <f>VLOOKUP(A2,mail,3)</f>
        <v>#N/A</v>
      </c>
      <c r="K21" s="18" t="s">
        <v>38</v>
      </c>
      <c r="L21" s="20" t="s">
        <v>197</v>
      </c>
      <c r="O21" s="21"/>
      <c r="P21" s="21"/>
      <c r="Q21" s="21"/>
      <c r="R21" s="21"/>
      <c r="S21" s="21"/>
    </row>
    <row r="22" spans="1:19" s="20" customFormat="1">
      <c r="A22" s="23" t="e">
        <f>VLOOKUP(A2,mail,4)</f>
        <v>#N/A</v>
      </c>
      <c r="K22" s="18" t="s">
        <v>381</v>
      </c>
      <c r="L22" s="20" t="s">
        <v>198</v>
      </c>
      <c r="O22" s="21"/>
      <c r="P22" s="21"/>
      <c r="Q22" s="21"/>
      <c r="R22" s="21"/>
      <c r="S22" s="21"/>
    </row>
    <row r="23" spans="1:19" s="20" customFormat="1">
      <c r="A23" s="23" t="e">
        <f>VLOOKUP(A2,mail,5)</f>
        <v>#N/A</v>
      </c>
      <c r="K23" s="18"/>
      <c r="L23" s="20" t="s">
        <v>199</v>
      </c>
      <c r="O23" s="21"/>
      <c r="P23" s="21"/>
      <c r="Q23" s="21"/>
      <c r="R23" s="21"/>
      <c r="S23" s="21"/>
    </row>
    <row r="24" spans="1:19" s="20" customFormat="1">
      <c r="K24" s="18"/>
      <c r="O24" s="21"/>
      <c r="P24" s="21"/>
      <c r="Q24" s="21"/>
      <c r="R24" s="21"/>
      <c r="S24" s="21"/>
    </row>
    <row r="25" spans="1:19" s="20" customFormat="1">
      <c r="K25" s="18"/>
      <c r="O25" s="21"/>
      <c r="P25" s="21"/>
      <c r="Q25" s="21"/>
      <c r="R25" s="21"/>
      <c r="S25" s="21"/>
    </row>
    <row r="26" spans="1:19" s="20" customFormat="1">
      <c r="A26" s="23"/>
      <c r="K26" s="18"/>
      <c r="O26" s="21"/>
      <c r="P26" s="21"/>
      <c r="Q26" s="21"/>
      <c r="R26" s="21"/>
      <c r="S26" s="21"/>
    </row>
    <row r="27" spans="1:19" s="20" customFormat="1">
      <c r="K27" s="18"/>
      <c r="O27" s="21"/>
      <c r="P27" s="21"/>
      <c r="Q27" s="21"/>
      <c r="R27" s="21"/>
      <c r="S27" s="21"/>
    </row>
    <row r="28" spans="1:19" s="20" customFormat="1">
      <c r="K28" s="18"/>
      <c r="O28" s="21"/>
      <c r="P28" s="21"/>
      <c r="Q28" s="21"/>
      <c r="R28" s="21"/>
      <c r="S28" s="21"/>
    </row>
    <row r="29" spans="1:19" s="20" customFormat="1">
      <c r="K29" s="18"/>
      <c r="O29" s="21"/>
      <c r="P29" s="21"/>
      <c r="Q29" s="21"/>
      <c r="R29" s="21"/>
      <c r="S29" s="21"/>
    </row>
    <row r="30" spans="1:19" s="20" customFormat="1">
      <c r="K30" s="18"/>
      <c r="O30" s="21"/>
      <c r="P30" s="21"/>
      <c r="Q30" s="21"/>
      <c r="R30" s="21"/>
      <c r="S30" s="21"/>
    </row>
    <row r="31" spans="1:19" s="20" customFormat="1">
      <c r="K31" s="18"/>
      <c r="O31" s="21"/>
      <c r="P31" s="21"/>
      <c r="Q31" s="21"/>
      <c r="R31" s="21"/>
      <c r="S31" s="21"/>
    </row>
    <row r="32" spans="1:19" s="20" customFormat="1">
      <c r="K32" s="18"/>
      <c r="O32" s="21"/>
      <c r="P32" s="21"/>
      <c r="Q32" s="21"/>
      <c r="R32" s="21"/>
      <c r="S32" s="21"/>
    </row>
    <row r="33" spans="11:19" s="20" customFormat="1">
      <c r="K33" s="18"/>
      <c r="O33" s="21"/>
      <c r="P33" s="21"/>
      <c r="Q33" s="21"/>
      <c r="R33" s="21"/>
      <c r="S33" s="21"/>
    </row>
    <row r="34" spans="11:19" s="20" customFormat="1">
      <c r="K34" s="18"/>
      <c r="O34" s="21"/>
      <c r="P34" s="21"/>
      <c r="Q34" s="21"/>
      <c r="R34" s="21"/>
      <c r="S34" s="21"/>
    </row>
    <row r="35" spans="11:19" s="20" customFormat="1">
      <c r="K35" s="18"/>
      <c r="O35" s="21"/>
      <c r="P35" s="21"/>
      <c r="Q35" s="21"/>
      <c r="R35" s="21"/>
      <c r="S35" s="21"/>
    </row>
    <row r="36" spans="11:19" s="20" customFormat="1">
      <c r="K36" s="18"/>
      <c r="O36" s="21"/>
      <c r="P36" s="21"/>
      <c r="Q36" s="21"/>
      <c r="R36" s="21"/>
      <c r="S36" s="21"/>
    </row>
  </sheetData>
  <sheetProtection password="D911" sheet="1" objects="1" scenarios="1"/>
  <sortState ref="O2:S7">
    <sortCondition ref="O2:O7"/>
  </sortState>
  <mergeCells count="5">
    <mergeCell ref="A7:C7"/>
    <mergeCell ref="A8:G8"/>
    <mergeCell ref="A9:G10"/>
    <mergeCell ref="A11:G11"/>
    <mergeCell ref="A12:G13"/>
  </mergeCells>
  <dataValidations count="6">
    <dataValidation type="list" allowBlank="1" sqref="C4 C6">
      <formula1>"Yes, No"</formula1>
    </dataValidation>
    <dataValidation type="list" allowBlank="1" sqref="B4">
      <formula1>$A$16:$A$18</formula1>
    </dataValidation>
    <dataValidation type="list" allowBlank="1" errorTitle="Error" error="You messed up" sqref="A2">
      <formula1>$O$2:$O$7</formula1>
    </dataValidation>
    <dataValidation type="list" allowBlank="1" sqref="A4">
      <formula1>"Yes,No"</formula1>
    </dataValidation>
    <dataValidation type="list" allowBlank="1" sqref="A5">
      <formula1>"Problem,Incident"</formula1>
    </dataValidation>
    <dataValidation type="list" allowBlank="1" sqref="B5">
      <formula1>$L$11:$L$23</formula1>
    </dataValidation>
  </dataValidations>
  <pageMargins left="0" right="0.7" top="0.75" bottom="0.75" header="0.3" footer="0.3"/>
  <pageSetup scale="59" orientation="portrait" r:id="rId1"/>
  <drawing r:id="rId2"/>
  <legacyDrawing r:id="rId3"/>
  <controls>
    <mc:AlternateContent xmlns:mc="http://schemas.openxmlformats.org/markup-compatibility/2006">
      <mc:Choice Requires="x14">
        <control shapeId="16385" r:id="rId4" name="CommandButton1">
          <controlPr defaultSize="0" autoLine="0" r:id="rId5">
            <anchor moveWithCells="1">
              <from>
                <xdr:col>4</xdr:col>
                <xdr:colOff>533400</xdr:colOff>
                <xdr:row>3</xdr:row>
                <xdr:rowOff>114300</xdr:rowOff>
              </from>
              <to>
                <xdr:col>6</xdr:col>
                <xdr:colOff>438150</xdr:colOff>
                <xdr:row>6</xdr:row>
                <xdr:rowOff>133350</xdr:rowOff>
              </to>
            </anchor>
          </controlPr>
        </control>
      </mc:Choice>
      <mc:Fallback>
        <control shapeId="16385" r:id="rId4" name="CommandButton1"/>
      </mc:Fallback>
    </mc:AlternateContent>
    <mc:AlternateContent xmlns:mc="http://schemas.openxmlformats.org/markup-compatibility/2006">
      <mc:Choice Requires="x14">
        <control shapeId="16386" r:id="rId6" name="CommandButton4">
          <controlPr defaultSize="0" autoLine="0" r:id="rId7">
            <anchor moveWithCells="1">
              <from>
                <xdr:col>3</xdr:col>
                <xdr:colOff>66675</xdr:colOff>
                <xdr:row>4</xdr:row>
                <xdr:rowOff>66675</xdr:rowOff>
              </from>
              <to>
                <xdr:col>4</xdr:col>
                <xdr:colOff>247650</xdr:colOff>
                <xdr:row>6</xdr:row>
                <xdr:rowOff>133350</xdr:rowOff>
              </to>
            </anchor>
          </controlPr>
        </control>
      </mc:Choice>
      <mc:Fallback>
        <control shapeId="16386" r:id="rId6" name="CommandButton4"/>
      </mc:Fallback>
    </mc:AlternateContent>
    <mc:AlternateContent xmlns:mc="http://schemas.openxmlformats.org/markup-compatibility/2006">
      <mc:Choice Requires="x14">
        <control shapeId="16387" r:id="rId8" name="CommandButton2">
          <controlPr defaultSize="0" autoLine="0" r:id="rId9">
            <anchor moveWithCells="1">
              <from>
                <xdr:col>1</xdr:col>
                <xdr:colOff>66675</xdr:colOff>
                <xdr:row>2</xdr:row>
                <xdr:rowOff>38100</xdr:rowOff>
              </from>
              <to>
                <xdr:col>1</xdr:col>
                <xdr:colOff>685800</xdr:colOff>
                <xdr:row>3</xdr:row>
                <xdr:rowOff>161925</xdr:rowOff>
              </to>
            </anchor>
          </controlPr>
        </control>
      </mc:Choice>
      <mc:Fallback>
        <control shapeId="16387" r:id="rId8" name="CommandButton2"/>
      </mc:Fallback>
    </mc:AlternateContent>
    <mc:AlternateContent xmlns:mc="http://schemas.openxmlformats.org/markup-compatibility/2006">
      <mc:Choice Requires="x14">
        <control shapeId="16388" r:id="rId10" name="CommandButton3">
          <controlPr defaultSize="0" autoLine="0" r:id="rId11">
            <anchor moveWithCells="1">
              <from>
                <xdr:col>3</xdr:col>
                <xdr:colOff>66675</xdr:colOff>
                <xdr:row>2</xdr:row>
                <xdr:rowOff>38100</xdr:rowOff>
              </from>
              <to>
                <xdr:col>3</xdr:col>
                <xdr:colOff>685800</xdr:colOff>
                <xdr:row>3</xdr:row>
                <xdr:rowOff>161925</xdr:rowOff>
              </to>
            </anchor>
          </controlPr>
        </control>
      </mc:Choice>
      <mc:Fallback>
        <control shapeId="16388" r:id="rId10" name="CommandButton3"/>
      </mc:Fallback>
    </mc:AlternateContent>
    <mc:AlternateContent xmlns:mc="http://schemas.openxmlformats.org/markup-compatibility/2006">
      <mc:Choice Requires="x14">
        <control shapeId="16413" r:id="rId12" name="CommandButton5">
          <controlPr defaultSize="0" autoLine="0" r:id="rId13">
            <anchor moveWithCells="1">
              <from>
                <xdr:col>2</xdr:col>
                <xdr:colOff>66675</xdr:colOff>
                <xdr:row>2</xdr:row>
                <xdr:rowOff>38100</xdr:rowOff>
              </from>
              <to>
                <xdr:col>2</xdr:col>
                <xdr:colOff>685800</xdr:colOff>
                <xdr:row>3</xdr:row>
                <xdr:rowOff>161925</xdr:rowOff>
              </to>
            </anchor>
          </controlPr>
        </control>
      </mc:Choice>
      <mc:Fallback>
        <control shapeId="16413" r:id="rId12" name="CommandButton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0"/>
  </sheetPr>
  <dimension ref="B1:I13"/>
  <sheetViews>
    <sheetView workbookViewId="0">
      <selection activeCell="D2" sqref="D2:E2"/>
    </sheetView>
  </sheetViews>
  <sheetFormatPr defaultRowHeight="15"/>
  <cols>
    <col min="1" max="1" width="6.140625" style="65" customWidth="1"/>
    <col min="2" max="8" width="9.140625" style="65"/>
    <col min="9" max="9" width="15.28515625" style="65" customWidth="1"/>
    <col min="10" max="16384" width="9.140625" style="65"/>
  </cols>
  <sheetData>
    <row r="1" spans="2:9" ht="16.5" customHeight="1" thickBot="1"/>
    <row r="2" spans="2:9" ht="16.5" customHeight="1" thickTop="1" thickBot="1">
      <c r="B2" s="114" t="s">
        <v>372</v>
      </c>
      <c r="C2" s="115"/>
      <c r="D2" s="114" t="s">
        <v>370</v>
      </c>
      <c r="E2" s="115"/>
      <c r="F2" s="114" t="s">
        <v>368</v>
      </c>
      <c r="G2" s="115"/>
    </row>
    <row r="3" spans="2:9" ht="16.5" thickTop="1" thickBot="1">
      <c r="B3" s="74"/>
      <c r="C3" s="114" t="s">
        <v>369</v>
      </c>
      <c r="D3" s="115"/>
      <c r="E3" s="114" t="s">
        <v>362</v>
      </c>
      <c r="F3" s="115"/>
      <c r="G3" s="114" t="s">
        <v>363</v>
      </c>
      <c r="H3" s="115"/>
      <c r="I3" s="120" t="s">
        <v>371</v>
      </c>
    </row>
    <row r="4" spans="2:9" ht="16.5" thickTop="1" thickBot="1">
      <c r="B4" s="73"/>
      <c r="C4" s="110"/>
      <c r="D4" s="111" t="s">
        <v>356</v>
      </c>
      <c r="E4" s="113" t="s">
        <v>357</v>
      </c>
      <c r="F4" s="113" t="s">
        <v>344</v>
      </c>
      <c r="G4" s="113" t="s">
        <v>358</v>
      </c>
      <c r="H4" s="113" t="s">
        <v>345</v>
      </c>
      <c r="I4" s="121"/>
    </row>
    <row r="5" spans="2:9" ht="15.75" thickTop="1">
      <c r="B5" s="67"/>
      <c r="C5" s="110"/>
      <c r="D5" s="111"/>
      <c r="E5" s="111"/>
      <c r="F5" s="111"/>
      <c r="G5" s="111"/>
      <c r="H5" s="111"/>
      <c r="I5" s="120" t="s">
        <v>365</v>
      </c>
    </row>
    <row r="6" spans="2:9" ht="15.75" thickBot="1">
      <c r="B6" s="67"/>
      <c r="C6" s="110"/>
      <c r="D6" s="112"/>
      <c r="E6" s="112"/>
      <c r="F6" s="112"/>
      <c r="G6" s="112"/>
      <c r="H6" s="112"/>
      <c r="I6" s="121"/>
    </row>
    <row r="7" spans="2:9" ht="15.75" thickTop="1">
      <c r="B7" s="72" t="s">
        <v>359</v>
      </c>
      <c r="C7" s="72" t="s">
        <v>360</v>
      </c>
      <c r="D7" s="113" t="s">
        <v>149</v>
      </c>
      <c r="E7" s="113"/>
      <c r="F7" s="113" t="s">
        <v>350</v>
      </c>
      <c r="G7" s="113" t="s">
        <v>351</v>
      </c>
      <c r="H7" s="122" t="s">
        <v>352</v>
      </c>
      <c r="I7" s="120" t="s">
        <v>366</v>
      </c>
    </row>
    <row r="8" spans="2:9" ht="15.75" thickBot="1">
      <c r="B8" s="64" t="s">
        <v>367</v>
      </c>
      <c r="C8" s="64" t="s">
        <v>361</v>
      </c>
      <c r="D8" s="111"/>
      <c r="E8" s="111"/>
      <c r="F8" s="111"/>
      <c r="G8" s="111"/>
      <c r="H8" s="123"/>
      <c r="I8" s="121"/>
    </row>
    <row r="9" spans="2:9" ht="16.5" thickTop="1" thickBot="1">
      <c r="B9" s="68"/>
      <c r="C9" s="68"/>
      <c r="D9" s="112"/>
      <c r="E9" s="112"/>
      <c r="F9" s="112"/>
      <c r="G9" s="112"/>
      <c r="H9" s="124"/>
      <c r="I9" s="120" t="s">
        <v>364</v>
      </c>
    </row>
    <row r="10" spans="2:9" ht="16.5" thickTop="1" thickBot="1">
      <c r="B10" s="110"/>
      <c r="C10" s="63" t="s">
        <v>348</v>
      </c>
      <c r="D10" s="63" t="s">
        <v>346</v>
      </c>
      <c r="E10" s="113" t="s">
        <v>353</v>
      </c>
      <c r="F10" s="113" t="s">
        <v>354</v>
      </c>
      <c r="G10" s="113" t="s">
        <v>355</v>
      </c>
      <c r="H10" s="117"/>
      <c r="I10" s="121"/>
    </row>
    <row r="11" spans="2:9" ht="15.75" thickTop="1">
      <c r="B11" s="110"/>
      <c r="C11" s="64" t="s">
        <v>349</v>
      </c>
      <c r="D11" s="64" t="s">
        <v>347</v>
      </c>
      <c r="E11" s="111"/>
      <c r="F11" s="111"/>
      <c r="G11" s="111"/>
      <c r="H11" s="118"/>
      <c r="I11" s="66"/>
    </row>
    <row r="12" spans="2:9" ht="15.75" thickBot="1">
      <c r="B12" s="116"/>
      <c r="C12" s="69"/>
      <c r="D12" s="70"/>
      <c r="E12" s="112"/>
      <c r="F12" s="112"/>
      <c r="G12" s="112"/>
      <c r="H12" s="119"/>
      <c r="I12" s="66" t="s">
        <v>334</v>
      </c>
    </row>
    <row r="13" spans="2:9" ht="15.75">
      <c r="B13" s="71"/>
    </row>
  </sheetData>
  <sheetProtection password="D911" sheet="1" objects="1" scenarios="1"/>
  <mergeCells count="26">
    <mergeCell ref="I9:I10"/>
    <mergeCell ref="I7:I8"/>
    <mergeCell ref="H4:H6"/>
    <mergeCell ref="D7:D9"/>
    <mergeCell ref="E7:E9"/>
    <mergeCell ref="F7:F9"/>
    <mergeCell ref="G7:G9"/>
    <mergeCell ref="H7:H9"/>
    <mergeCell ref="I5:I6"/>
    <mergeCell ref="I3:I4"/>
    <mergeCell ref="G3:H3"/>
    <mergeCell ref="B10:B12"/>
    <mergeCell ref="E10:E12"/>
    <mergeCell ref="F10:F12"/>
    <mergeCell ref="G10:G12"/>
    <mergeCell ref="H10:H12"/>
    <mergeCell ref="F2:G2"/>
    <mergeCell ref="D2:E2"/>
    <mergeCell ref="C3:D3"/>
    <mergeCell ref="B2:C2"/>
    <mergeCell ref="E3:F3"/>
    <mergeCell ref="C4:C6"/>
    <mergeCell ref="D4:D6"/>
    <mergeCell ref="E4:E6"/>
    <mergeCell ref="F4:F6"/>
    <mergeCell ref="G4:G6"/>
  </mergeCells>
  <pageMargins left="0.7" right="0.7" top="0.75" bottom="0.75" header="0.3" footer="0.3"/>
  <pageSetup orientation="portrait" r:id="rId1"/>
  <drawing r:id="rId2"/>
  <legacyDrawing r:id="rId3"/>
  <controls>
    <mc:AlternateContent xmlns:mc="http://schemas.openxmlformats.org/markup-compatibility/2006">
      <mc:Choice Requires="x14">
        <control shapeId="24583" r:id="rId4" name="CommandButton24">
          <controlPr defaultSize="0" autoLine="0" r:id="rId5">
            <anchor moveWithCells="1" sizeWithCells="1">
              <from>
                <xdr:col>9</xdr:col>
                <xdr:colOff>428625</xdr:colOff>
                <xdr:row>6</xdr:row>
                <xdr:rowOff>161925</xdr:rowOff>
              </from>
              <to>
                <xdr:col>10</xdr:col>
                <xdr:colOff>180975</xdr:colOff>
                <xdr:row>8</xdr:row>
                <xdr:rowOff>104775</xdr:rowOff>
              </to>
            </anchor>
          </controlPr>
        </control>
      </mc:Choice>
      <mc:Fallback>
        <control shapeId="24583" r:id="rId4" name="CommandButton24"/>
      </mc:Fallback>
    </mc:AlternateContent>
    <mc:AlternateContent xmlns:mc="http://schemas.openxmlformats.org/markup-compatibility/2006">
      <mc:Choice Requires="x14">
        <control shapeId="24582" r:id="rId6" name="CommandButton23">
          <controlPr defaultSize="0" autoLine="0" r:id="rId7">
            <anchor moveWithCells="1" sizeWithCells="1">
              <from>
                <xdr:col>9</xdr:col>
                <xdr:colOff>428625</xdr:colOff>
                <xdr:row>9</xdr:row>
                <xdr:rowOff>38100</xdr:rowOff>
              </from>
              <to>
                <xdr:col>10</xdr:col>
                <xdr:colOff>180975</xdr:colOff>
                <xdr:row>11</xdr:row>
                <xdr:rowOff>9525</xdr:rowOff>
              </to>
            </anchor>
          </controlPr>
        </control>
      </mc:Choice>
      <mc:Fallback>
        <control shapeId="24582" r:id="rId6" name="CommandButton23"/>
      </mc:Fallback>
    </mc:AlternateContent>
    <mc:AlternateContent xmlns:mc="http://schemas.openxmlformats.org/markup-compatibility/2006">
      <mc:Choice Requires="x14">
        <control shapeId="24581" r:id="rId8" name="CommandButton22">
          <controlPr defaultSize="0" autoLine="0" r:id="rId9">
            <anchor moveWithCells="1" sizeWithCells="1">
              <from>
                <xdr:col>9</xdr:col>
                <xdr:colOff>428625</xdr:colOff>
                <xdr:row>4</xdr:row>
                <xdr:rowOff>76200</xdr:rowOff>
              </from>
              <to>
                <xdr:col>10</xdr:col>
                <xdr:colOff>180975</xdr:colOff>
                <xdr:row>6</xdr:row>
                <xdr:rowOff>19050</xdr:rowOff>
              </to>
            </anchor>
          </controlPr>
        </control>
      </mc:Choice>
      <mc:Fallback>
        <control shapeId="24581" r:id="rId8" name="CommandButton22"/>
      </mc:Fallback>
    </mc:AlternateContent>
    <mc:AlternateContent xmlns:mc="http://schemas.openxmlformats.org/markup-compatibility/2006">
      <mc:Choice Requires="x14">
        <control shapeId="24580" r:id="rId10" name="CommandButton21">
          <controlPr defaultSize="0" autoLine="0" r:id="rId11">
            <anchor moveWithCells="1" sizeWithCells="1">
              <from>
                <xdr:col>9</xdr:col>
                <xdr:colOff>428625</xdr:colOff>
                <xdr:row>1</xdr:row>
                <xdr:rowOff>200025</xdr:rowOff>
              </from>
              <to>
                <xdr:col>10</xdr:col>
                <xdr:colOff>180975</xdr:colOff>
                <xdr:row>3</xdr:row>
                <xdr:rowOff>142875</xdr:rowOff>
              </to>
            </anchor>
          </controlPr>
        </control>
      </mc:Choice>
      <mc:Fallback>
        <control shapeId="24580" r:id="rId10" name="CommandButton21"/>
      </mc:Fallback>
    </mc:AlternateContent>
    <mc:AlternateContent xmlns:mc="http://schemas.openxmlformats.org/markup-compatibility/2006">
      <mc:Choice Requires="x14">
        <control shapeId="24584" r:id="rId12" name="CommandButton25">
          <controlPr defaultSize="0" autoLine="0" r:id="rId13">
            <anchor moveWithCells="1" sizeWithCells="1">
              <from>
                <xdr:col>1</xdr:col>
                <xdr:colOff>104775</xdr:colOff>
                <xdr:row>3</xdr:row>
                <xdr:rowOff>9525</xdr:rowOff>
              </from>
              <to>
                <xdr:col>1</xdr:col>
                <xdr:colOff>466725</xdr:colOff>
                <xdr:row>4</xdr:row>
                <xdr:rowOff>161925</xdr:rowOff>
              </to>
            </anchor>
          </controlPr>
        </control>
      </mc:Choice>
      <mc:Fallback>
        <control shapeId="24584" r:id="rId12" name="CommandButton25"/>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8000"/>
  </sheetPr>
  <dimension ref="A1:CA32"/>
  <sheetViews>
    <sheetView workbookViewId="0">
      <selection activeCell="B2" sqref="B2"/>
    </sheetView>
  </sheetViews>
  <sheetFormatPr defaultRowHeight="15"/>
  <cols>
    <col min="1" max="1" width="18.85546875" style="49" customWidth="1"/>
    <col min="2" max="2" width="13.28515625" style="50" customWidth="1"/>
    <col min="3" max="3" width="10.42578125" style="49" customWidth="1"/>
    <col min="4" max="251" width="9.140625" style="49"/>
    <col min="252" max="252" width="16.28515625" style="49" customWidth="1"/>
    <col min="253" max="254" width="10.7109375" style="49" customWidth="1"/>
    <col min="255" max="255" width="9.7109375" style="49" customWidth="1"/>
    <col min="256" max="256" width="10.5703125" style="49" customWidth="1"/>
    <col min="257" max="257" width="10.7109375" style="49" customWidth="1"/>
    <col min="258" max="258" width="13.7109375" style="49" customWidth="1"/>
    <col min="259" max="507" width="9.140625" style="49"/>
    <col min="508" max="508" width="16.28515625" style="49" customWidth="1"/>
    <col min="509" max="510" width="10.7109375" style="49" customWidth="1"/>
    <col min="511" max="511" width="9.7109375" style="49" customWidth="1"/>
    <col min="512" max="512" width="10.5703125" style="49" customWidth="1"/>
    <col min="513" max="513" width="10.7109375" style="49" customWidth="1"/>
    <col min="514" max="514" width="13.7109375" style="49" customWidth="1"/>
    <col min="515" max="763" width="9.140625" style="49"/>
    <col min="764" max="764" width="16.28515625" style="49" customWidth="1"/>
    <col min="765" max="766" width="10.7109375" style="49" customWidth="1"/>
    <col min="767" max="767" width="9.7109375" style="49" customWidth="1"/>
    <col min="768" max="768" width="10.5703125" style="49" customWidth="1"/>
    <col min="769" max="769" width="10.7109375" style="49" customWidth="1"/>
    <col min="770" max="770" width="13.7109375" style="49" customWidth="1"/>
    <col min="771" max="1019" width="9.140625" style="49"/>
    <col min="1020" max="1020" width="16.28515625" style="49" customWidth="1"/>
    <col min="1021" max="1022" width="10.7109375" style="49" customWidth="1"/>
    <col min="1023" max="1023" width="9.7109375" style="49" customWidth="1"/>
    <col min="1024" max="1024" width="10.5703125" style="49" customWidth="1"/>
    <col min="1025" max="1025" width="10.7109375" style="49" customWidth="1"/>
    <col min="1026" max="1026" width="13.7109375" style="49" customWidth="1"/>
    <col min="1027" max="1275" width="9.140625" style="49"/>
    <col min="1276" max="1276" width="16.28515625" style="49" customWidth="1"/>
    <col min="1277" max="1278" width="10.7109375" style="49" customWidth="1"/>
    <col min="1279" max="1279" width="9.7109375" style="49" customWidth="1"/>
    <col min="1280" max="1280" width="10.5703125" style="49" customWidth="1"/>
    <col min="1281" max="1281" width="10.7109375" style="49" customWidth="1"/>
    <col min="1282" max="1282" width="13.7109375" style="49" customWidth="1"/>
    <col min="1283" max="1531" width="9.140625" style="49"/>
    <col min="1532" max="1532" width="16.28515625" style="49" customWidth="1"/>
    <col min="1533" max="1534" width="10.7109375" style="49" customWidth="1"/>
    <col min="1535" max="1535" width="9.7109375" style="49" customWidth="1"/>
    <col min="1536" max="1536" width="10.5703125" style="49" customWidth="1"/>
    <col min="1537" max="1537" width="10.7109375" style="49" customWidth="1"/>
    <col min="1538" max="1538" width="13.7109375" style="49" customWidth="1"/>
    <col min="1539" max="1787" width="9.140625" style="49"/>
    <col min="1788" max="1788" width="16.28515625" style="49" customWidth="1"/>
    <col min="1789" max="1790" width="10.7109375" style="49" customWidth="1"/>
    <col min="1791" max="1791" width="9.7109375" style="49" customWidth="1"/>
    <col min="1792" max="1792" width="10.5703125" style="49" customWidth="1"/>
    <col min="1793" max="1793" width="10.7109375" style="49" customWidth="1"/>
    <col min="1794" max="1794" width="13.7109375" style="49" customWidth="1"/>
    <col min="1795" max="2043" width="9.140625" style="49"/>
    <col min="2044" max="2044" width="16.28515625" style="49" customWidth="1"/>
    <col min="2045" max="2046" width="10.7109375" style="49" customWidth="1"/>
    <col min="2047" max="2047" width="9.7109375" style="49" customWidth="1"/>
    <col min="2048" max="2048" width="10.5703125" style="49" customWidth="1"/>
    <col min="2049" max="2049" width="10.7109375" style="49" customWidth="1"/>
    <col min="2050" max="2050" width="13.7109375" style="49" customWidth="1"/>
    <col min="2051" max="2299" width="9.140625" style="49"/>
    <col min="2300" max="2300" width="16.28515625" style="49" customWidth="1"/>
    <col min="2301" max="2302" width="10.7109375" style="49" customWidth="1"/>
    <col min="2303" max="2303" width="9.7109375" style="49" customWidth="1"/>
    <col min="2304" max="2304" width="10.5703125" style="49" customWidth="1"/>
    <col min="2305" max="2305" width="10.7109375" style="49" customWidth="1"/>
    <col min="2306" max="2306" width="13.7109375" style="49" customWidth="1"/>
    <col min="2307" max="2555" width="9.140625" style="49"/>
    <col min="2556" max="2556" width="16.28515625" style="49" customWidth="1"/>
    <col min="2557" max="2558" width="10.7109375" style="49" customWidth="1"/>
    <col min="2559" max="2559" width="9.7109375" style="49" customWidth="1"/>
    <col min="2560" max="2560" width="10.5703125" style="49" customWidth="1"/>
    <col min="2561" max="2561" width="10.7109375" style="49" customWidth="1"/>
    <col min="2562" max="2562" width="13.7109375" style="49" customWidth="1"/>
    <col min="2563" max="2811" width="9.140625" style="49"/>
    <col min="2812" max="2812" width="16.28515625" style="49" customWidth="1"/>
    <col min="2813" max="2814" width="10.7109375" style="49" customWidth="1"/>
    <col min="2815" max="2815" width="9.7109375" style="49" customWidth="1"/>
    <col min="2816" max="2816" width="10.5703125" style="49" customWidth="1"/>
    <col min="2817" max="2817" width="10.7109375" style="49" customWidth="1"/>
    <col min="2818" max="2818" width="13.7109375" style="49" customWidth="1"/>
    <col min="2819" max="3067" width="9.140625" style="49"/>
    <col min="3068" max="3068" width="16.28515625" style="49" customWidth="1"/>
    <col min="3069" max="3070" width="10.7109375" style="49" customWidth="1"/>
    <col min="3071" max="3071" width="9.7109375" style="49" customWidth="1"/>
    <col min="3072" max="3072" width="10.5703125" style="49" customWidth="1"/>
    <col min="3073" max="3073" width="10.7109375" style="49" customWidth="1"/>
    <col min="3074" max="3074" width="13.7109375" style="49" customWidth="1"/>
    <col min="3075" max="3323" width="9.140625" style="49"/>
    <col min="3324" max="3324" width="16.28515625" style="49" customWidth="1"/>
    <col min="3325" max="3326" width="10.7109375" style="49" customWidth="1"/>
    <col min="3327" max="3327" width="9.7109375" style="49" customWidth="1"/>
    <col min="3328" max="3328" width="10.5703125" style="49" customWidth="1"/>
    <col min="3329" max="3329" width="10.7109375" style="49" customWidth="1"/>
    <col min="3330" max="3330" width="13.7109375" style="49" customWidth="1"/>
    <col min="3331" max="3579" width="9.140625" style="49"/>
    <col min="3580" max="3580" width="16.28515625" style="49" customWidth="1"/>
    <col min="3581" max="3582" width="10.7109375" style="49" customWidth="1"/>
    <col min="3583" max="3583" width="9.7109375" style="49" customWidth="1"/>
    <col min="3584" max="3584" width="10.5703125" style="49" customWidth="1"/>
    <col min="3585" max="3585" width="10.7109375" style="49" customWidth="1"/>
    <col min="3586" max="3586" width="13.7109375" style="49" customWidth="1"/>
    <col min="3587" max="3835" width="9.140625" style="49"/>
    <col min="3836" max="3836" width="16.28515625" style="49" customWidth="1"/>
    <col min="3837" max="3838" width="10.7109375" style="49" customWidth="1"/>
    <col min="3839" max="3839" width="9.7109375" style="49" customWidth="1"/>
    <col min="3840" max="3840" width="10.5703125" style="49" customWidth="1"/>
    <col min="3841" max="3841" width="10.7109375" style="49" customWidth="1"/>
    <col min="3842" max="3842" width="13.7109375" style="49" customWidth="1"/>
    <col min="3843" max="4091" width="9.140625" style="49"/>
    <col min="4092" max="4092" width="16.28515625" style="49" customWidth="1"/>
    <col min="4093" max="4094" width="10.7109375" style="49" customWidth="1"/>
    <col min="4095" max="4095" width="9.7109375" style="49" customWidth="1"/>
    <col min="4096" max="4096" width="10.5703125" style="49" customWidth="1"/>
    <col min="4097" max="4097" width="10.7109375" style="49" customWidth="1"/>
    <col min="4098" max="4098" width="13.7109375" style="49" customWidth="1"/>
    <col min="4099" max="4347" width="9.140625" style="49"/>
    <col min="4348" max="4348" width="16.28515625" style="49" customWidth="1"/>
    <col min="4349" max="4350" width="10.7109375" style="49" customWidth="1"/>
    <col min="4351" max="4351" width="9.7109375" style="49" customWidth="1"/>
    <col min="4352" max="4352" width="10.5703125" style="49" customWidth="1"/>
    <col min="4353" max="4353" width="10.7109375" style="49" customWidth="1"/>
    <col min="4354" max="4354" width="13.7109375" style="49" customWidth="1"/>
    <col min="4355" max="4603" width="9.140625" style="49"/>
    <col min="4604" max="4604" width="16.28515625" style="49" customWidth="1"/>
    <col min="4605" max="4606" width="10.7109375" style="49" customWidth="1"/>
    <col min="4607" max="4607" width="9.7109375" style="49" customWidth="1"/>
    <col min="4608" max="4608" width="10.5703125" style="49" customWidth="1"/>
    <col min="4609" max="4609" width="10.7109375" style="49" customWidth="1"/>
    <col min="4610" max="4610" width="13.7109375" style="49" customWidth="1"/>
    <col min="4611" max="4859" width="9.140625" style="49"/>
    <col min="4860" max="4860" width="16.28515625" style="49" customWidth="1"/>
    <col min="4861" max="4862" width="10.7109375" style="49" customWidth="1"/>
    <col min="4863" max="4863" width="9.7109375" style="49" customWidth="1"/>
    <col min="4864" max="4864" width="10.5703125" style="49" customWidth="1"/>
    <col min="4865" max="4865" width="10.7109375" style="49" customWidth="1"/>
    <col min="4866" max="4866" width="13.7109375" style="49" customWidth="1"/>
    <col min="4867" max="5115" width="9.140625" style="49"/>
    <col min="5116" max="5116" width="16.28515625" style="49" customWidth="1"/>
    <col min="5117" max="5118" width="10.7109375" style="49" customWidth="1"/>
    <col min="5119" max="5119" width="9.7109375" style="49" customWidth="1"/>
    <col min="5120" max="5120" width="10.5703125" style="49" customWidth="1"/>
    <col min="5121" max="5121" width="10.7109375" style="49" customWidth="1"/>
    <col min="5122" max="5122" width="13.7109375" style="49" customWidth="1"/>
    <col min="5123" max="5371" width="9.140625" style="49"/>
    <col min="5372" max="5372" width="16.28515625" style="49" customWidth="1"/>
    <col min="5373" max="5374" width="10.7109375" style="49" customWidth="1"/>
    <col min="5375" max="5375" width="9.7109375" style="49" customWidth="1"/>
    <col min="5376" max="5376" width="10.5703125" style="49" customWidth="1"/>
    <col min="5377" max="5377" width="10.7109375" style="49" customWidth="1"/>
    <col min="5378" max="5378" width="13.7109375" style="49" customWidth="1"/>
    <col min="5379" max="5627" width="9.140625" style="49"/>
    <col min="5628" max="5628" width="16.28515625" style="49" customWidth="1"/>
    <col min="5629" max="5630" width="10.7109375" style="49" customWidth="1"/>
    <col min="5631" max="5631" width="9.7109375" style="49" customWidth="1"/>
    <col min="5632" max="5632" width="10.5703125" style="49" customWidth="1"/>
    <col min="5633" max="5633" width="10.7109375" style="49" customWidth="1"/>
    <col min="5634" max="5634" width="13.7109375" style="49" customWidth="1"/>
    <col min="5635" max="5883" width="9.140625" style="49"/>
    <col min="5884" max="5884" width="16.28515625" style="49" customWidth="1"/>
    <col min="5885" max="5886" width="10.7109375" style="49" customWidth="1"/>
    <col min="5887" max="5887" width="9.7109375" style="49" customWidth="1"/>
    <col min="5888" max="5888" width="10.5703125" style="49" customWidth="1"/>
    <col min="5889" max="5889" width="10.7109375" style="49" customWidth="1"/>
    <col min="5890" max="5890" width="13.7109375" style="49" customWidth="1"/>
    <col min="5891" max="6139" width="9.140625" style="49"/>
    <col min="6140" max="6140" width="16.28515625" style="49" customWidth="1"/>
    <col min="6141" max="6142" width="10.7109375" style="49" customWidth="1"/>
    <col min="6143" max="6143" width="9.7109375" style="49" customWidth="1"/>
    <col min="6144" max="6144" width="10.5703125" style="49" customWidth="1"/>
    <col min="6145" max="6145" width="10.7109375" style="49" customWidth="1"/>
    <col min="6146" max="6146" width="13.7109375" style="49" customWidth="1"/>
    <col min="6147" max="6395" width="9.140625" style="49"/>
    <col min="6396" max="6396" width="16.28515625" style="49" customWidth="1"/>
    <col min="6397" max="6398" width="10.7109375" style="49" customWidth="1"/>
    <col min="6399" max="6399" width="9.7109375" style="49" customWidth="1"/>
    <col min="6400" max="6400" width="10.5703125" style="49" customWidth="1"/>
    <col min="6401" max="6401" width="10.7109375" style="49" customWidth="1"/>
    <col min="6402" max="6402" width="13.7109375" style="49" customWidth="1"/>
    <col min="6403" max="6651" width="9.140625" style="49"/>
    <col min="6652" max="6652" width="16.28515625" style="49" customWidth="1"/>
    <col min="6653" max="6654" width="10.7109375" style="49" customWidth="1"/>
    <col min="6655" max="6655" width="9.7109375" style="49" customWidth="1"/>
    <col min="6656" max="6656" width="10.5703125" style="49" customWidth="1"/>
    <col min="6657" max="6657" width="10.7109375" style="49" customWidth="1"/>
    <col min="6658" max="6658" width="13.7109375" style="49" customWidth="1"/>
    <col min="6659" max="6907" width="9.140625" style="49"/>
    <col min="6908" max="6908" width="16.28515625" style="49" customWidth="1"/>
    <col min="6909" max="6910" width="10.7109375" style="49" customWidth="1"/>
    <col min="6911" max="6911" width="9.7109375" style="49" customWidth="1"/>
    <col min="6912" max="6912" width="10.5703125" style="49" customWidth="1"/>
    <col min="6913" max="6913" width="10.7109375" style="49" customWidth="1"/>
    <col min="6914" max="6914" width="13.7109375" style="49" customWidth="1"/>
    <col min="6915" max="7163" width="9.140625" style="49"/>
    <col min="7164" max="7164" width="16.28515625" style="49" customWidth="1"/>
    <col min="7165" max="7166" width="10.7109375" style="49" customWidth="1"/>
    <col min="7167" max="7167" width="9.7109375" style="49" customWidth="1"/>
    <col min="7168" max="7168" width="10.5703125" style="49" customWidth="1"/>
    <col min="7169" max="7169" width="10.7109375" style="49" customWidth="1"/>
    <col min="7170" max="7170" width="13.7109375" style="49" customWidth="1"/>
    <col min="7171" max="7419" width="9.140625" style="49"/>
    <col min="7420" max="7420" width="16.28515625" style="49" customWidth="1"/>
    <col min="7421" max="7422" width="10.7109375" style="49" customWidth="1"/>
    <col min="7423" max="7423" width="9.7109375" style="49" customWidth="1"/>
    <col min="7424" max="7424" width="10.5703125" style="49" customWidth="1"/>
    <col min="7425" max="7425" width="10.7109375" style="49" customWidth="1"/>
    <col min="7426" max="7426" width="13.7109375" style="49" customWidth="1"/>
    <col min="7427" max="7675" width="9.140625" style="49"/>
    <col min="7676" max="7676" width="16.28515625" style="49" customWidth="1"/>
    <col min="7677" max="7678" width="10.7109375" style="49" customWidth="1"/>
    <col min="7679" max="7679" width="9.7109375" style="49" customWidth="1"/>
    <col min="7680" max="7680" width="10.5703125" style="49" customWidth="1"/>
    <col min="7681" max="7681" width="10.7109375" style="49" customWidth="1"/>
    <col min="7682" max="7682" width="13.7109375" style="49" customWidth="1"/>
    <col min="7683" max="7931" width="9.140625" style="49"/>
    <col min="7932" max="7932" width="16.28515625" style="49" customWidth="1"/>
    <col min="7933" max="7934" width="10.7109375" style="49" customWidth="1"/>
    <col min="7935" max="7935" width="9.7109375" style="49" customWidth="1"/>
    <col min="7936" max="7936" width="10.5703125" style="49" customWidth="1"/>
    <col min="7937" max="7937" width="10.7109375" style="49" customWidth="1"/>
    <col min="7938" max="7938" width="13.7109375" style="49" customWidth="1"/>
    <col min="7939" max="8187" width="9.140625" style="49"/>
    <col min="8188" max="8188" width="16.28515625" style="49" customWidth="1"/>
    <col min="8189" max="8190" width="10.7109375" style="49" customWidth="1"/>
    <col min="8191" max="8191" width="9.7109375" style="49" customWidth="1"/>
    <col min="8192" max="8192" width="10.5703125" style="49" customWidth="1"/>
    <col min="8193" max="8193" width="10.7109375" style="49" customWidth="1"/>
    <col min="8194" max="8194" width="13.7109375" style="49" customWidth="1"/>
    <col min="8195" max="8443" width="9.140625" style="49"/>
    <col min="8444" max="8444" width="16.28515625" style="49" customWidth="1"/>
    <col min="8445" max="8446" width="10.7109375" style="49" customWidth="1"/>
    <col min="8447" max="8447" width="9.7109375" style="49" customWidth="1"/>
    <col min="8448" max="8448" width="10.5703125" style="49" customWidth="1"/>
    <col min="8449" max="8449" width="10.7109375" style="49" customWidth="1"/>
    <col min="8450" max="8450" width="13.7109375" style="49" customWidth="1"/>
    <col min="8451" max="8699" width="9.140625" style="49"/>
    <col min="8700" max="8700" width="16.28515625" style="49" customWidth="1"/>
    <col min="8701" max="8702" width="10.7109375" style="49" customWidth="1"/>
    <col min="8703" max="8703" width="9.7109375" style="49" customWidth="1"/>
    <col min="8704" max="8704" width="10.5703125" style="49" customWidth="1"/>
    <col min="8705" max="8705" width="10.7109375" style="49" customWidth="1"/>
    <col min="8706" max="8706" width="13.7109375" style="49" customWidth="1"/>
    <col min="8707" max="8955" width="9.140625" style="49"/>
    <col min="8956" max="8956" width="16.28515625" style="49" customWidth="1"/>
    <col min="8957" max="8958" width="10.7109375" style="49" customWidth="1"/>
    <col min="8959" max="8959" width="9.7109375" style="49" customWidth="1"/>
    <col min="8960" max="8960" width="10.5703125" style="49" customWidth="1"/>
    <col min="8961" max="8961" width="10.7109375" style="49" customWidth="1"/>
    <col min="8962" max="8962" width="13.7109375" style="49" customWidth="1"/>
    <col min="8963" max="9211" width="9.140625" style="49"/>
    <col min="9212" max="9212" width="16.28515625" style="49" customWidth="1"/>
    <col min="9213" max="9214" width="10.7109375" style="49" customWidth="1"/>
    <col min="9215" max="9215" width="9.7109375" style="49" customWidth="1"/>
    <col min="9216" max="9216" width="10.5703125" style="49" customWidth="1"/>
    <col min="9217" max="9217" width="10.7109375" style="49" customWidth="1"/>
    <col min="9218" max="9218" width="13.7109375" style="49" customWidth="1"/>
    <col min="9219" max="9467" width="9.140625" style="49"/>
    <col min="9468" max="9468" width="16.28515625" style="49" customWidth="1"/>
    <col min="9469" max="9470" width="10.7109375" style="49" customWidth="1"/>
    <col min="9471" max="9471" width="9.7109375" style="49" customWidth="1"/>
    <col min="9472" max="9472" width="10.5703125" style="49" customWidth="1"/>
    <col min="9473" max="9473" width="10.7109375" style="49" customWidth="1"/>
    <col min="9474" max="9474" width="13.7109375" style="49" customWidth="1"/>
    <col min="9475" max="9723" width="9.140625" style="49"/>
    <col min="9724" max="9724" width="16.28515625" style="49" customWidth="1"/>
    <col min="9725" max="9726" width="10.7109375" style="49" customWidth="1"/>
    <col min="9727" max="9727" width="9.7109375" style="49" customWidth="1"/>
    <col min="9728" max="9728" width="10.5703125" style="49" customWidth="1"/>
    <col min="9729" max="9729" width="10.7109375" style="49" customWidth="1"/>
    <col min="9730" max="9730" width="13.7109375" style="49" customWidth="1"/>
    <col min="9731" max="9979" width="9.140625" style="49"/>
    <col min="9980" max="9980" width="16.28515625" style="49" customWidth="1"/>
    <col min="9981" max="9982" width="10.7109375" style="49" customWidth="1"/>
    <col min="9983" max="9983" width="9.7109375" style="49" customWidth="1"/>
    <col min="9984" max="9984" width="10.5703125" style="49" customWidth="1"/>
    <col min="9985" max="9985" width="10.7109375" style="49" customWidth="1"/>
    <col min="9986" max="9986" width="13.7109375" style="49" customWidth="1"/>
    <col min="9987" max="10235" width="9.140625" style="49"/>
    <col min="10236" max="10236" width="16.28515625" style="49" customWidth="1"/>
    <col min="10237" max="10238" width="10.7109375" style="49" customWidth="1"/>
    <col min="10239" max="10239" width="9.7109375" style="49" customWidth="1"/>
    <col min="10240" max="10240" width="10.5703125" style="49" customWidth="1"/>
    <col min="10241" max="10241" width="10.7109375" style="49" customWidth="1"/>
    <col min="10242" max="10242" width="13.7109375" style="49" customWidth="1"/>
    <col min="10243" max="10491" width="9.140625" style="49"/>
    <col min="10492" max="10492" width="16.28515625" style="49" customWidth="1"/>
    <col min="10493" max="10494" width="10.7109375" style="49" customWidth="1"/>
    <col min="10495" max="10495" width="9.7109375" style="49" customWidth="1"/>
    <col min="10496" max="10496" width="10.5703125" style="49" customWidth="1"/>
    <col min="10497" max="10497" width="10.7109375" style="49" customWidth="1"/>
    <col min="10498" max="10498" width="13.7109375" style="49" customWidth="1"/>
    <col min="10499" max="10747" width="9.140625" style="49"/>
    <col min="10748" max="10748" width="16.28515625" style="49" customWidth="1"/>
    <col min="10749" max="10750" width="10.7109375" style="49" customWidth="1"/>
    <col min="10751" max="10751" width="9.7109375" style="49" customWidth="1"/>
    <col min="10752" max="10752" width="10.5703125" style="49" customWidth="1"/>
    <col min="10753" max="10753" width="10.7109375" style="49" customWidth="1"/>
    <col min="10754" max="10754" width="13.7109375" style="49" customWidth="1"/>
    <col min="10755" max="11003" width="9.140625" style="49"/>
    <col min="11004" max="11004" width="16.28515625" style="49" customWidth="1"/>
    <col min="11005" max="11006" width="10.7109375" style="49" customWidth="1"/>
    <col min="11007" max="11007" width="9.7109375" style="49" customWidth="1"/>
    <col min="11008" max="11008" width="10.5703125" style="49" customWidth="1"/>
    <col min="11009" max="11009" width="10.7109375" style="49" customWidth="1"/>
    <col min="11010" max="11010" width="13.7109375" style="49" customWidth="1"/>
    <col min="11011" max="11259" width="9.140625" style="49"/>
    <col min="11260" max="11260" width="16.28515625" style="49" customWidth="1"/>
    <col min="11261" max="11262" width="10.7109375" style="49" customWidth="1"/>
    <col min="11263" max="11263" width="9.7109375" style="49" customWidth="1"/>
    <col min="11264" max="11264" width="10.5703125" style="49" customWidth="1"/>
    <col min="11265" max="11265" width="10.7109375" style="49" customWidth="1"/>
    <col min="11266" max="11266" width="13.7109375" style="49" customWidth="1"/>
    <col min="11267" max="11515" width="9.140625" style="49"/>
    <col min="11516" max="11516" width="16.28515625" style="49" customWidth="1"/>
    <col min="11517" max="11518" width="10.7109375" style="49" customWidth="1"/>
    <col min="11519" max="11519" width="9.7109375" style="49" customWidth="1"/>
    <col min="11520" max="11520" width="10.5703125" style="49" customWidth="1"/>
    <col min="11521" max="11521" width="10.7109375" style="49" customWidth="1"/>
    <col min="11522" max="11522" width="13.7109375" style="49" customWidth="1"/>
    <col min="11523" max="11771" width="9.140625" style="49"/>
    <col min="11772" max="11772" width="16.28515625" style="49" customWidth="1"/>
    <col min="11773" max="11774" width="10.7109375" style="49" customWidth="1"/>
    <col min="11775" max="11775" width="9.7109375" style="49" customWidth="1"/>
    <col min="11776" max="11776" width="10.5703125" style="49" customWidth="1"/>
    <col min="11777" max="11777" width="10.7109375" style="49" customWidth="1"/>
    <col min="11778" max="11778" width="13.7109375" style="49" customWidth="1"/>
    <col min="11779" max="12027" width="9.140625" style="49"/>
    <col min="12028" max="12028" width="16.28515625" style="49" customWidth="1"/>
    <col min="12029" max="12030" width="10.7109375" style="49" customWidth="1"/>
    <col min="12031" max="12031" width="9.7109375" style="49" customWidth="1"/>
    <col min="12032" max="12032" width="10.5703125" style="49" customWidth="1"/>
    <col min="12033" max="12033" width="10.7109375" style="49" customWidth="1"/>
    <col min="12034" max="12034" width="13.7109375" style="49" customWidth="1"/>
    <col min="12035" max="12283" width="9.140625" style="49"/>
    <col min="12284" max="12284" width="16.28515625" style="49" customWidth="1"/>
    <col min="12285" max="12286" width="10.7109375" style="49" customWidth="1"/>
    <col min="12287" max="12287" width="9.7109375" style="49" customWidth="1"/>
    <col min="12288" max="12288" width="10.5703125" style="49" customWidth="1"/>
    <col min="12289" max="12289" width="10.7109375" style="49" customWidth="1"/>
    <col min="12290" max="12290" width="13.7109375" style="49" customWidth="1"/>
    <col min="12291" max="12539" width="9.140625" style="49"/>
    <col min="12540" max="12540" width="16.28515625" style="49" customWidth="1"/>
    <col min="12541" max="12542" width="10.7109375" style="49" customWidth="1"/>
    <col min="12543" max="12543" width="9.7109375" style="49" customWidth="1"/>
    <col min="12544" max="12544" width="10.5703125" style="49" customWidth="1"/>
    <col min="12545" max="12545" width="10.7109375" style="49" customWidth="1"/>
    <col min="12546" max="12546" width="13.7109375" style="49" customWidth="1"/>
    <col min="12547" max="12795" width="9.140625" style="49"/>
    <col min="12796" max="12796" width="16.28515625" style="49" customWidth="1"/>
    <col min="12797" max="12798" width="10.7109375" style="49" customWidth="1"/>
    <col min="12799" max="12799" width="9.7109375" style="49" customWidth="1"/>
    <col min="12800" max="12800" width="10.5703125" style="49" customWidth="1"/>
    <col min="12801" max="12801" width="10.7109375" style="49" customWidth="1"/>
    <col min="12802" max="12802" width="13.7109375" style="49" customWidth="1"/>
    <col min="12803" max="13051" width="9.140625" style="49"/>
    <col min="13052" max="13052" width="16.28515625" style="49" customWidth="1"/>
    <col min="13053" max="13054" width="10.7109375" style="49" customWidth="1"/>
    <col min="13055" max="13055" width="9.7109375" style="49" customWidth="1"/>
    <col min="13056" max="13056" width="10.5703125" style="49" customWidth="1"/>
    <col min="13057" max="13057" width="10.7109375" style="49" customWidth="1"/>
    <col min="13058" max="13058" width="13.7109375" style="49" customWidth="1"/>
    <col min="13059" max="13307" width="9.140625" style="49"/>
    <col min="13308" max="13308" width="16.28515625" style="49" customWidth="1"/>
    <col min="13309" max="13310" width="10.7109375" style="49" customWidth="1"/>
    <col min="13311" max="13311" width="9.7109375" style="49" customWidth="1"/>
    <col min="13312" max="13312" width="10.5703125" style="49" customWidth="1"/>
    <col min="13313" max="13313" width="10.7109375" style="49" customWidth="1"/>
    <col min="13314" max="13314" width="13.7109375" style="49" customWidth="1"/>
    <col min="13315" max="13563" width="9.140625" style="49"/>
    <col min="13564" max="13564" width="16.28515625" style="49" customWidth="1"/>
    <col min="13565" max="13566" width="10.7109375" style="49" customWidth="1"/>
    <col min="13567" max="13567" width="9.7109375" style="49" customWidth="1"/>
    <col min="13568" max="13568" width="10.5703125" style="49" customWidth="1"/>
    <col min="13569" max="13569" width="10.7109375" style="49" customWidth="1"/>
    <col min="13570" max="13570" width="13.7109375" style="49" customWidth="1"/>
    <col min="13571" max="13819" width="9.140625" style="49"/>
    <col min="13820" max="13820" width="16.28515625" style="49" customWidth="1"/>
    <col min="13821" max="13822" width="10.7109375" style="49" customWidth="1"/>
    <col min="13823" max="13823" width="9.7109375" style="49" customWidth="1"/>
    <col min="13824" max="13824" width="10.5703125" style="49" customWidth="1"/>
    <col min="13825" max="13825" width="10.7109375" style="49" customWidth="1"/>
    <col min="13826" max="13826" width="13.7109375" style="49" customWidth="1"/>
    <col min="13827" max="14075" width="9.140625" style="49"/>
    <col min="14076" max="14076" width="16.28515625" style="49" customWidth="1"/>
    <col min="14077" max="14078" width="10.7109375" style="49" customWidth="1"/>
    <col min="14079" max="14079" width="9.7109375" style="49" customWidth="1"/>
    <col min="14080" max="14080" width="10.5703125" style="49" customWidth="1"/>
    <col min="14081" max="14081" width="10.7109375" style="49" customWidth="1"/>
    <col min="14082" max="14082" width="13.7109375" style="49" customWidth="1"/>
    <col min="14083" max="14331" width="9.140625" style="49"/>
    <col min="14332" max="14332" width="16.28515625" style="49" customWidth="1"/>
    <col min="14333" max="14334" width="10.7109375" style="49" customWidth="1"/>
    <col min="14335" max="14335" width="9.7109375" style="49" customWidth="1"/>
    <col min="14336" max="14336" width="10.5703125" style="49" customWidth="1"/>
    <col min="14337" max="14337" width="10.7109375" style="49" customWidth="1"/>
    <col min="14338" max="14338" width="13.7109375" style="49" customWidth="1"/>
    <col min="14339" max="14587" width="9.140625" style="49"/>
    <col min="14588" max="14588" width="16.28515625" style="49" customWidth="1"/>
    <col min="14589" max="14590" width="10.7109375" style="49" customWidth="1"/>
    <col min="14591" max="14591" width="9.7109375" style="49" customWidth="1"/>
    <col min="14592" max="14592" width="10.5703125" style="49" customWidth="1"/>
    <col min="14593" max="14593" width="10.7109375" style="49" customWidth="1"/>
    <col min="14594" max="14594" width="13.7109375" style="49" customWidth="1"/>
    <col min="14595" max="14843" width="9.140625" style="49"/>
    <col min="14844" max="14844" width="16.28515625" style="49" customWidth="1"/>
    <col min="14845" max="14846" width="10.7109375" style="49" customWidth="1"/>
    <col min="14847" max="14847" width="9.7109375" style="49" customWidth="1"/>
    <col min="14848" max="14848" width="10.5703125" style="49" customWidth="1"/>
    <col min="14849" max="14849" width="10.7109375" style="49" customWidth="1"/>
    <col min="14850" max="14850" width="13.7109375" style="49" customWidth="1"/>
    <col min="14851" max="15099" width="9.140625" style="49"/>
    <col min="15100" max="15100" width="16.28515625" style="49" customWidth="1"/>
    <col min="15101" max="15102" width="10.7109375" style="49" customWidth="1"/>
    <col min="15103" max="15103" width="9.7109375" style="49" customWidth="1"/>
    <col min="15104" max="15104" width="10.5703125" style="49" customWidth="1"/>
    <col min="15105" max="15105" width="10.7109375" style="49" customWidth="1"/>
    <col min="15106" max="15106" width="13.7109375" style="49" customWidth="1"/>
    <col min="15107" max="15355" width="9.140625" style="49"/>
    <col min="15356" max="15356" width="16.28515625" style="49" customWidth="1"/>
    <col min="15357" max="15358" width="10.7109375" style="49" customWidth="1"/>
    <col min="15359" max="15359" width="9.7109375" style="49" customWidth="1"/>
    <col min="15360" max="15360" width="10.5703125" style="49" customWidth="1"/>
    <col min="15361" max="15361" width="10.7109375" style="49" customWidth="1"/>
    <col min="15362" max="15362" width="13.7109375" style="49" customWidth="1"/>
    <col min="15363" max="15611" width="9.140625" style="49"/>
    <col min="15612" max="15612" width="16.28515625" style="49" customWidth="1"/>
    <col min="15613" max="15614" width="10.7109375" style="49" customWidth="1"/>
    <col min="15615" max="15615" width="9.7109375" style="49" customWidth="1"/>
    <col min="15616" max="15616" width="10.5703125" style="49" customWidth="1"/>
    <col min="15617" max="15617" width="10.7109375" style="49" customWidth="1"/>
    <col min="15618" max="15618" width="13.7109375" style="49" customWidth="1"/>
    <col min="15619" max="15867" width="9.140625" style="49"/>
    <col min="15868" max="15868" width="16.28515625" style="49" customWidth="1"/>
    <col min="15869" max="15870" width="10.7109375" style="49" customWidth="1"/>
    <col min="15871" max="15871" width="9.7109375" style="49" customWidth="1"/>
    <col min="15872" max="15872" width="10.5703125" style="49" customWidth="1"/>
    <col min="15873" max="15873" width="10.7109375" style="49" customWidth="1"/>
    <col min="15874" max="15874" width="13.7109375" style="49" customWidth="1"/>
    <col min="15875" max="16123" width="9.140625" style="49"/>
    <col min="16124" max="16124" width="16.28515625" style="49" customWidth="1"/>
    <col min="16125" max="16126" width="10.7109375" style="49" customWidth="1"/>
    <col min="16127" max="16127" width="9.7109375" style="49" customWidth="1"/>
    <col min="16128" max="16128" width="10.5703125" style="49" customWidth="1"/>
    <col min="16129" max="16129" width="10.7109375" style="49" customWidth="1"/>
    <col min="16130" max="16130" width="13.7109375" style="49" customWidth="1"/>
    <col min="16131" max="16384" width="9.140625" style="49"/>
  </cols>
  <sheetData>
    <row r="1" spans="1:79" s="48" customFormat="1" ht="15.75">
      <c r="A1" s="48" t="s">
        <v>262</v>
      </c>
      <c r="B1" s="48" t="s">
        <v>263</v>
      </c>
      <c r="C1" s="48" t="s">
        <v>264</v>
      </c>
      <c r="D1" s="48" t="s">
        <v>265</v>
      </c>
    </row>
    <row r="2" spans="1:79">
      <c r="A2" s="49" t="s">
        <v>14</v>
      </c>
      <c r="B2" s="57"/>
      <c r="C2" s="50" t="s">
        <v>266</v>
      </c>
      <c r="D2" s="50" t="s">
        <v>267</v>
      </c>
      <c r="F2" s="50"/>
    </row>
    <row r="3" spans="1:79">
      <c r="A3" s="49" t="s">
        <v>11</v>
      </c>
      <c r="B3" s="57"/>
      <c r="C3" s="50" t="s">
        <v>266</v>
      </c>
      <c r="D3" s="50" t="s">
        <v>267</v>
      </c>
      <c r="F3" s="50"/>
    </row>
    <row r="4" spans="1:79">
      <c r="A4" s="49" t="s">
        <v>25</v>
      </c>
      <c r="B4" s="57"/>
      <c r="C4" s="50" t="s">
        <v>266</v>
      </c>
      <c r="D4" s="50" t="s">
        <v>267</v>
      </c>
      <c r="F4" s="50"/>
    </row>
    <row r="5" spans="1:79">
      <c r="A5" s="49" t="s">
        <v>268</v>
      </c>
      <c r="B5" s="57"/>
      <c r="C5" s="50" t="s">
        <v>266</v>
      </c>
      <c r="D5" s="50" t="s">
        <v>267</v>
      </c>
      <c r="F5" s="50"/>
    </row>
    <row r="6" spans="1:79" s="51" customFormat="1">
      <c r="A6" s="49" t="s">
        <v>12</v>
      </c>
      <c r="B6" s="57"/>
      <c r="C6" s="50" t="s">
        <v>266</v>
      </c>
      <c r="D6" s="50" t="s">
        <v>267</v>
      </c>
      <c r="E6" s="49"/>
      <c r="F6" s="50"/>
      <c r="G6" s="49"/>
      <c r="H6" s="49"/>
      <c r="I6" s="49"/>
      <c r="J6" s="49"/>
      <c r="K6" s="49"/>
      <c r="L6" s="49"/>
      <c r="M6" s="49"/>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c r="BA6" s="49"/>
      <c r="BB6" s="49"/>
      <c r="BC6" s="49"/>
      <c r="BD6" s="49"/>
      <c r="BE6" s="49"/>
      <c r="BF6" s="49"/>
      <c r="BG6" s="49"/>
      <c r="BH6" s="49"/>
      <c r="BI6" s="49"/>
      <c r="BJ6" s="49"/>
      <c r="BK6" s="49"/>
      <c r="BL6" s="49"/>
      <c r="BM6" s="49"/>
      <c r="BN6" s="49"/>
      <c r="BO6" s="49"/>
      <c r="BP6" s="49"/>
      <c r="BQ6" s="49"/>
      <c r="BR6" s="49"/>
      <c r="BS6" s="49"/>
      <c r="BT6" s="49"/>
      <c r="BU6" s="49"/>
      <c r="BV6" s="49"/>
      <c r="BW6" s="49"/>
      <c r="BX6" s="49"/>
      <c r="BY6" s="49"/>
      <c r="BZ6" s="49"/>
      <c r="CA6" s="49"/>
    </row>
    <row r="7" spans="1:79" s="51" customFormat="1">
      <c r="A7" s="49" t="s">
        <v>23</v>
      </c>
      <c r="B7" s="57"/>
      <c r="C7" s="50" t="s">
        <v>266</v>
      </c>
      <c r="D7" s="50" t="s">
        <v>267</v>
      </c>
      <c r="E7" s="49"/>
      <c r="F7" s="50"/>
      <c r="G7" s="49"/>
      <c r="H7" s="49"/>
      <c r="I7" s="49"/>
      <c r="J7" s="49"/>
      <c r="K7" s="49"/>
      <c r="L7" s="49"/>
      <c r="M7" s="49"/>
      <c r="N7" s="49"/>
      <c r="O7" s="49"/>
      <c r="P7" s="49"/>
      <c r="Q7" s="49"/>
      <c r="R7" s="49"/>
      <c r="S7" s="49"/>
      <c r="T7" s="49"/>
      <c r="U7" s="49"/>
      <c r="V7" s="49"/>
      <c r="W7" s="49"/>
      <c r="X7" s="49"/>
      <c r="Y7" s="49"/>
      <c r="Z7" s="49"/>
      <c r="AA7" s="49"/>
      <c r="AB7" s="49"/>
      <c r="AC7" s="49"/>
      <c r="AD7" s="49"/>
      <c r="AE7" s="49"/>
      <c r="AF7" s="49"/>
      <c r="AG7" s="49"/>
      <c r="AH7" s="49"/>
      <c r="AI7" s="49"/>
      <c r="AJ7" s="49"/>
      <c r="AK7" s="49"/>
      <c r="AL7" s="49"/>
      <c r="AM7" s="49"/>
      <c r="AN7" s="49"/>
      <c r="AO7" s="49"/>
      <c r="AP7" s="49"/>
      <c r="AQ7" s="49"/>
      <c r="AR7" s="49"/>
      <c r="AS7" s="49"/>
      <c r="AT7" s="49"/>
      <c r="AU7" s="49"/>
      <c r="AV7" s="49"/>
      <c r="AW7" s="49"/>
      <c r="AX7" s="49"/>
      <c r="AY7" s="49"/>
      <c r="AZ7" s="49"/>
      <c r="BA7" s="49"/>
      <c r="BB7" s="49"/>
      <c r="BC7" s="49"/>
      <c r="BD7" s="49"/>
      <c r="BE7" s="49"/>
      <c r="BF7" s="49"/>
      <c r="BG7" s="49"/>
      <c r="BH7" s="49"/>
      <c r="BI7" s="49"/>
      <c r="BJ7" s="49"/>
      <c r="BK7" s="49"/>
      <c r="BL7" s="49"/>
      <c r="BM7" s="49"/>
      <c r="BN7" s="49"/>
      <c r="BO7" s="49"/>
      <c r="BP7" s="49"/>
      <c r="BQ7" s="49"/>
      <c r="BR7" s="49"/>
      <c r="BS7" s="49"/>
      <c r="BT7" s="49"/>
      <c r="BU7" s="49"/>
      <c r="BV7" s="49"/>
      <c r="BW7" s="49"/>
      <c r="BX7" s="49"/>
      <c r="BY7" s="49"/>
      <c r="BZ7" s="49"/>
      <c r="CA7" s="49"/>
    </row>
    <row r="8" spans="1:79" s="51" customFormat="1">
      <c r="A8" s="49" t="s">
        <v>13</v>
      </c>
      <c r="B8" s="57"/>
      <c r="C8" s="50" t="s">
        <v>266</v>
      </c>
      <c r="D8" s="50" t="s">
        <v>267</v>
      </c>
      <c r="E8" s="49"/>
      <c r="F8" s="50"/>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49"/>
      <c r="BA8" s="49"/>
      <c r="BB8" s="49"/>
      <c r="BC8" s="49"/>
      <c r="BD8" s="49"/>
      <c r="BE8" s="49"/>
      <c r="BF8" s="49"/>
      <c r="BG8" s="49"/>
      <c r="BH8" s="49"/>
      <c r="BI8" s="49"/>
      <c r="BJ8" s="49"/>
      <c r="BK8" s="49"/>
      <c r="BL8" s="49"/>
      <c r="BM8" s="49"/>
      <c r="BN8" s="49"/>
      <c r="BO8" s="49"/>
      <c r="BP8" s="49"/>
      <c r="BQ8" s="49"/>
      <c r="BR8" s="49"/>
      <c r="BS8" s="49"/>
      <c r="BT8" s="49"/>
      <c r="BU8" s="49"/>
      <c r="BV8" s="49"/>
      <c r="BW8" s="49"/>
      <c r="BX8" s="49"/>
      <c r="BY8" s="49"/>
      <c r="BZ8" s="49"/>
      <c r="CA8" s="49"/>
    </row>
    <row r="9" spans="1:79" s="51" customFormat="1">
      <c r="A9" s="49" t="s">
        <v>15</v>
      </c>
      <c r="B9" s="57"/>
      <c r="C9" s="50" t="s">
        <v>266</v>
      </c>
      <c r="D9" s="50" t="s">
        <v>267</v>
      </c>
      <c r="E9" s="49"/>
      <c r="F9" s="50"/>
      <c r="G9" s="49"/>
      <c r="H9" s="49"/>
      <c r="I9" s="49"/>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49"/>
      <c r="BA9" s="49"/>
      <c r="BB9" s="49"/>
      <c r="BC9" s="49"/>
      <c r="BD9" s="49"/>
      <c r="BE9" s="49"/>
      <c r="BF9" s="49"/>
      <c r="BG9" s="49"/>
      <c r="BH9" s="49"/>
      <c r="BI9" s="49"/>
      <c r="BJ9" s="49"/>
      <c r="BK9" s="49"/>
      <c r="BL9" s="49"/>
      <c r="BM9" s="49"/>
      <c r="BN9" s="49"/>
      <c r="BO9" s="49"/>
      <c r="BP9" s="49"/>
      <c r="BQ9" s="49"/>
      <c r="BR9" s="49"/>
      <c r="BS9" s="49"/>
      <c r="BT9" s="49"/>
      <c r="BU9" s="49"/>
      <c r="BV9" s="49"/>
      <c r="BW9" s="49"/>
      <c r="BX9" s="49"/>
      <c r="BY9" s="49"/>
      <c r="BZ9" s="49"/>
      <c r="CA9" s="49"/>
    </row>
    <row r="10" spans="1:79" s="51" customFormat="1">
      <c r="A10" s="49" t="s">
        <v>8</v>
      </c>
      <c r="B10" s="57"/>
      <c r="C10" s="50" t="s">
        <v>266</v>
      </c>
      <c r="D10" s="50" t="s">
        <v>267</v>
      </c>
      <c r="E10" s="49"/>
      <c r="F10" s="50"/>
      <c r="G10" s="49"/>
      <c r="H10" s="49"/>
      <c r="I10" s="49"/>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49"/>
      <c r="BA10" s="49"/>
      <c r="BB10" s="49"/>
      <c r="BC10" s="49"/>
      <c r="BD10" s="49"/>
      <c r="BE10" s="49"/>
      <c r="BF10" s="49"/>
      <c r="BG10" s="49"/>
      <c r="BH10" s="49"/>
      <c r="BI10" s="49"/>
      <c r="BJ10" s="49"/>
      <c r="BK10" s="49"/>
      <c r="BL10" s="49"/>
      <c r="BM10" s="49"/>
      <c r="BN10" s="49"/>
      <c r="BO10" s="49"/>
      <c r="BP10" s="49"/>
      <c r="BQ10" s="49"/>
      <c r="BR10" s="49"/>
      <c r="BS10" s="49"/>
      <c r="BT10" s="49"/>
      <c r="BU10" s="49"/>
      <c r="BV10" s="49"/>
      <c r="BW10" s="49"/>
      <c r="BX10" s="49"/>
      <c r="BY10" s="49"/>
      <c r="BZ10" s="49"/>
      <c r="CA10" s="49"/>
    </row>
    <row r="11" spans="1:79" s="51" customFormat="1" ht="15.75">
      <c r="A11" s="52" t="str">
        <f ca="1">"\\stnfs2wv\Data\Corporate\Information Technology\Solution Center\IT Procedures\AS400\LMS CC Settlement Logs\2016\"&amp;A13</f>
        <v>\\stnfs2wv\Data\Corporate\Information Technology\Solution Center\IT Procedures\AS400\LMS CC Settlement Logs\2016\May</v>
      </c>
      <c r="B11" s="53"/>
      <c r="C11" s="53"/>
      <c r="D11" s="53"/>
      <c r="E11" s="53"/>
      <c r="F11" s="53"/>
      <c r="G11" s="53"/>
      <c r="H11" s="53"/>
      <c r="I11" s="53"/>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49"/>
      <c r="BA11" s="49"/>
      <c r="BB11" s="49"/>
      <c r="BC11" s="49"/>
      <c r="BD11" s="49"/>
      <c r="BE11" s="49"/>
      <c r="BF11" s="49"/>
      <c r="BG11" s="49"/>
      <c r="BH11" s="49"/>
      <c r="BI11" s="49"/>
      <c r="BJ11" s="49"/>
      <c r="BK11" s="49"/>
      <c r="BL11" s="49"/>
      <c r="BM11" s="49"/>
      <c r="BN11" s="49"/>
      <c r="BO11" s="49"/>
      <c r="BP11" s="49"/>
      <c r="BQ11" s="49"/>
      <c r="BR11" s="49"/>
      <c r="BS11" s="49"/>
      <c r="BT11" s="49"/>
      <c r="BU11" s="49"/>
      <c r="BV11" s="49"/>
      <c r="BW11" s="49"/>
      <c r="BX11" s="49"/>
      <c r="BY11" s="49"/>
      <c r="BZ11" s="49"/>
      <c r="CA11" s="49"/>
    </row>
    <row r="12" spans="1:79">
      <c r="A12" s="125" t="str">
        <f ca="1">"\\stnfs2wv\Data\Corporate\Information Technology\Solution Center\IT Procedures\AS400\LMS CC Settlement Logs\2016\"&amp;A13&amp;"\"&amp;B13</f>
        <v>\\stnfs2wv\Data\Corporate\Information Technology\Solution Center\IT Procedures\AS400\LMS CC Settlement Logs\2016\May\050516</v>
      </c>
      <c r="B12" s="125"/>
      <c r="C12" s="125"/>
      <c r="D12" s="125"/>
    </row>
    <row r="13" spans="1:79" ht="15.75">
      <c r="A13" s="58" t="str">
        <f ca="1">TEXT(NOW(), "mmmm")</f>
        <v>May</v>
      </c>
      <c r="B13" s="59" t="str">
        <f ca="1">TEXT(NOW(),"mmddyy")</f>
        <v>050516</v>
      </c>
      <c r="C13" s="54"/>
      <c r="D13" s="54"/>
      <c r="E13" s="54"/>
      <c r="F13" s="54"/>
      <c r="G13" s="54"/>
      <c r="H13" s="54"/>
      <c r="I13" s="54"/>
    </row>
    <row r="14" spans="1:79">
      <c r="B14" s="49"/>
    </row>
    <row r="23" spans="1:2">
      <c r="A23" s="55"/>
      <c r="B23" s="56"/>
    </row>
    <row r="32" spans="1:2">
      <c r="A32" s="55"/>
      <c r="B32" s="56"/>
    </row>
  </sheetData>
  <sheetProtection password="D911" sheet="1" objects="1" scenarios="1"/>
  <mergeCells count="1">
    <mergeCell ref="A12:D12"/>
  </mergeCells>
  <conditionalFormatting sqref="A15:A1048576 B1:D11 E2:E11 J1:XFD1048576 F1:I11 C13:I1048576 B16:B1048576 A1:A13 A12:XFD12">
    <cfRule type="expression" dxfId="2" priority="4">
      <formula>MOD(ROW(),2)=0</formula>
    </cfRule>
  </conditionalFormatting>
  <conditionalFormatting sqref="B13">
    <cfRule type="expression" dxfId="1" priority="2">
      <formula>MOD(ROW(),2)=0</formula>
    </cfRule>
  </conditionalFormatting>
  <conditionalFormatting sqref="A14:B14">
    <cfRule type="expression" dxfId="0" priority="1">
      <formula>MOD(ROW(),2)=0</formula>
    </cfRule>
  </conditionalFormatting>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22529" r:id="rId4" name="CommandButton1">
          <controlPr defaultSize="0" autoLine="0" r:id="rId5">
            <anchor moveWithCells="1">
              <from>
                <xdr:col>4</xdr:col>
                <xdr:colOff>323850</xdr:colOff>
                <xdr:row>0</xdr:row>
                <xdr:rowOff>47625</xdr:rowOff>
              </from>
              <to>
                <xdr:col>6</xdr:col>
                <xdr:colOff>0</xdr:colOff>
                <xdr:row>2</xdr:row>
                <xdr:rowOff>104775</xdr:rowOff>
              </to>
            </anchor>
          </controlPr>
        </control>
      </mc:Choice>
      <mc:Fallback>
        <control shapeId="22529" r:id="rId4" name="CommandButton1"/>
      </mc:Fallback>
    </mc:AlternateContent>
    <mc:AlternateContent xmlns:mc="http://schemas.openxmlformats.org/markup-compatibility/2006">
      <mc:Choice Requires="x14">
        <control shapeId="22530" r:id="rId6" name="CommandButton2">
          <controlPr defaultSize="0" autoLine="0" r:id="rId7">
            <anchor moveWithCells="1">
              <from>
                <xdr:col>4</xdr:col>
                <xdr:colOff>323850</xdr:colOff>
                <xdr:row>2</xdr:row>
                <xdr:rowOff>180975</xdr:rowOff>
              </from>
              <to>
                <xdr:col>6</xdr:col>
                <xdr:colOff>0</xdr:colOff>
                <xdr:row>5</xdr:row>
                <xdr:rowOff>57150</xdr:rowOff>
              </to>
            </anchor>
          </controlPr>
        </control>
      </mc:Choice>
      <mc:Fallback>
        <control shapeId="22530" r:id="rId6" name="CommandButton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Notes</vt:lpstr>
      <vt:lpstr>Quick Text</vt:lpstr>
      <vt:lpstr>Passwords</vt:lpstr>
      <vt:lpstr>Phone #s</vt:lpstr>
      <vt:lpstr>Email</vt:lpstr>
      <vt:lpstr>Room</vt:lpstr>
      <vt:lpstr>CC Log</vt:lpstr>
      <vt:lpstr>mail</vt:lpstr>
    </vt:vector>
  </TitlesOfParts>
  <Company>Station Casinos,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Sullivan</dc:creator>
  <cp:lastModifiedBy>Sullivan, Scott</cp:lastModifiedBy>
  <cp:lastPrinted>2016-05-04T17:55:15Z</cp:lastPrinted>
  <dcterms:created xsi:type="dcterms:W3CDTF">2011-12-23T17:23:18Z</dcterms:created>
  <dcterms:modified xsi:type="dcterms:W3CDTF">2016-05-05T21:03:21Z</dcterms:modified>
</cp:coreProperties>
</file>