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050" yWindow="5460" windowWidth="13395" windowHeight="6435" tabRatio="826" activeTab="2"/>
  </bookViews>
  <sheets>
    <sheet name="Kiosks" sheetId="13" r:id="rId1"/>
    <sheet name="PasteData" sheetId="15" r:id="rId2"/>
    <sheet name="Sheet1" sheetId="16" r:id="rId3"/>
  </sheets>
  <functionGroups builtInGroupCount="17"/>
  <definedNames>
    <definedName name="_xlnm._FilterDatabase" localSheetId="0" hidden="1">Kiosks!$O$2:$O$8</definedName>
    <definedName name="erange" localSheetId="0">Kiosks!$S$2:$T$7</definedName>
    <definedName name="_xlnm.Extract" localSheetId="0">Kiosks!#REF!</definedName>
    <definedName name="mail">#REF!</definedName>
    <definedName name="torange" localSheetId="0">Kiosks!$S$10:$U$26</definedName>
  </definedNames>
  <calcPr calcId="145621"/>
</workbook>
</file>

<file path=xl/calcChain.xml><?xml version="1.0" encoding="utf-8"?>
<calcChain xmlns="http://schemas.openxmlformats.org/spreadsheetml/2006/main">
  <c r="L48" i="15" l="1"/>
  <c r="M48" i="15"/>
  <c r="L49" i="15"/>
  <c r="M49" i="15"/>
  <c r="L50" i="15"/>
  <c r="M50" i="15"/>
  <c r="L51" i="15"/>
  <c r="M51" i="15"/>
  <c r="L52" i="15"/>
  <c r="M52" i="15"/>
  <c r="L53" i="15"/>
  <c r="M53" i="15"/>
  <c r="L54" i="15"/>
  <c r="M54" i="15"/>
  <c r="L55" i="15"/>
  <c r="M55" i="15"/>
  <c r="L56" i="15"/>
  <c r="M56" i="15"/>
  <c r="L57" i="15"/>
  <c r="M57" i="15"/>
  <c r="L58" i="15"/>
  <c r="M58" i="15"/>
  <c r="L59" i="15"/>
  <c r="M59" i="15"/>
  <c r="L60" i="15"/>
  <c r="M60" i="15"/>
  <c r="L61" i="15"/>
  <c r="M61" i="15"/>
  <c r="L62" i="15"/>
  <c r="M62" i="15"/>
  <c r="L63" i="15"/>
  <c r="M63" i="15"/>
  <c r="L64" i="15"/>
  <c r="M64" i="15"/>
  <c r="L65" i="15"/>
  <c r="M65" i="15"/>
  <c r="L66" i="15"/>
  <c r="M66" i="15"/>
  <c r="L67" i="15"/>
  <c r="M67" i="15"/>
  <c r="L68" i="15"/>
  <c r="M68" i="15"/>
  <c r="L69" i="15"/>
  <c r="M69" i="15"/>
  <c r="L70" i="15"/>
  <c r="M70" i="15"/>
  <c r="L71" i="15"/>
  <c r="M71" i="15"/>
  <c r="L72" i="15"/>
  <c r="M72" i="15"/>
  <c r="L73" i="15"/>
  <c r="M73" i="15"/>
  <c r="L74" i="15"/>
  <c r="M74" i="15"/>
  <c r="L75" i="15"/>
  <c r="M75" i="15"/>
  <c r="L76" i="15"/>
  <c r="M76" i="15"/>
  <c r="L77" i="15"/>
  <c r="M77" i="15"/>
  <c r="L78" i="15"/>
  <c r="M78" i="15"/>
  <c r="L79" i="15"/>
  <c r="M79" i="15"/>
  <c r="L80" i="15"/>
  <c r="M80" i="15"/>
  <c r="L81" i="15"/>
  <c r="M81" i="15"/>
  <c r="L82" i="15"/>
  <c r="M82" i="15"/>
  <c r="L83" i="15"/>
  <c r="M83" i="15"/>
  <c r="L84" i="15"/>
  <c r="M84" i="15"/>
  <c r="L85" i="15"/>
  <c r="M85" i="15"/>
  <c r="L86" i="15"/>
  <c r="M86" i="15"/>
  <c r="L87" i="15"/>
  <c r="M87" i="15"/>
  <c r="L88" i="15"/>
  <c r="M88" i="15"/>
  <c r="L89" i="15"/>
  <c r="M89" i="15"/>
  <c r="L90" i="15"/>
  <c r="M90" i="15"/>
  <c r="L91" i="15"/>
  <c r="M91" i="15"/>
  <c r="L92" i="15"/>
  <c r="M92" i="15"/>
  <c r="L93" i="15"/>
  <c r="M93" i="15"/>
  <c r="L94" i="15"/>
  <c r="M94" i="15"/>
  <c r="L95" i="15"/>
  <c r="M95" i="15"/>
  <c r="L96" i="15"/>
  <c r="M96" i="15"/>
  <c r="L97" i="15"/>
  <c r="M97" i="15"/>
  <c r="L98" i="15"/>
  <c r="M98" i="15"/>
  <c r="L99" i="15"/>
  <c r="M99" i="15"/>
  <c r="L100" i="15"/>
  <c r="M100" i="15"/>
  <c r="L101" i="15"/>
  <c r="M101" i="15"/>
  <c r="L102" i="15"/>
  <c r="M102" i="15"/>
  <c r="L103" i="15"/>
  <c r="M103" i="15"/>
  <c r="L104" i="15"/>
  <c r="M104" i="15"/>
  <c r="L105" i="15"/>
  <c r="M105" i="15"/>
  <c r="L106" i="15"/>
  <c r="M106" i="15"/>
  <c r="L107" i="15"/>
  <c r="M107" i="15"/>
  <c r="L108" i="15"/>
  <c r="M108" i="15"/>
  <c r="L109" i="15"/>
  <c r="M109" i="15"/>
  <c r="L110" i="15"/>
  <c r="M110" i="15"/>
  <c r="L111" i="15"/>
  <c r="M111" i="15"/>
  <c r="L112" i="15"/>
  <c r="M112" i="15"/>
  <c r="L113" i="15"/>
  <c r="M113" i="15"/>
  <c r="L114" i="15"/>
  <c r="M114" i="15"/>
  <c r="L115" i="15"/>
  <c r="M115" i="15"/>
  <c r="L116" i="15"/>
  <c r="M116" i="15"/>
  <c r="L117" i="15"/>
  <c r="M117" i="15"/>
  <c r="L118" i="15"/>
  <c r="M118" i="15"/>
  <c r="L119" i="15"/>
  <c r="M119" i="15"/>
  <c r="L120" i="15"/>
  <c r="M120" i="15"/>
  <c r="L121" i="15"/>
  <c r="M121" i="15"/>
  <c r="L122" i="15"/>
  <c r="M122" i="15"/>
  <c r="L123" i="15"/>
  <c r="M123" i="15"/>
  <c r="L124" i="15"/>
  <c r="M124" i="15"/>
  <c r="L125" i="15"/>
  <c r="M125" i="15"/>
  <c r="L126" i="15"/>
  <c r="M126" i="15"/>
  <c r="L127" i="15"/>
  <c r="M127" i="15"/>
  <c r="L128" i="15"/>
  <c r="M128" i="15"/>
  <c r="L129" i="15"/>
  <c r="M129" i="15"/>
  <c r="L130" i="15"/>
  <c r="M130" i="15"/>
  <c r="L131" i="15"/>
  <c r="M131" i="15"/>
  <c r="L132" i="15"/>
  <c r="M132" i="15"/>
  <c r="L133" i="15"/>
  <c r="M133" i="15"/>
  <c r="L134" i="15"/>
  <c r="M134" i="15"/>
  <c r="L135" i="15"/>
  <c r="M135" i="15"/>
  <c r="L136" i="15"/>
  <c r="M136" i="15"/>
  <c r="L137" i="15"/>
  <c r="M137" i="15"/>
  <c r="L138" i="15"/>
  <c r="M138" i="15"/>
  <c r="L139" i="15"/>
  <c r="M139" i="15"/>
  <c r="L140" i="15"/>
  <c r="M140" i="15"/>
  <c r="L141" i="15"/>
  <c r="M141" i="15"/>
  <c r="L142" i="15"/>
  <c r="M142" i="15"/>
  <c r="L143" i="15"/>
  <c r="M143" i="15"/>
  <c r="L144" i="15"/>
  <c r="M144" i="15"/>
  <c r="L145" i="15"/>
  <c r="M145" i="15"/>
  <c r="L146" i="15"/>
  <c r="M146" i="15"/>
  <c r="L147" i="15"/>
  <c r="M147" i="15"/>
  <c r="L148" i="15"/>
  <c r="M148" i="15"/>
  <c r="L149" i="15"/>
  <c r="M149" i="15"/>
  <c r="L150" i="15"/>
  <c r="M150" i="15"/>
  <c r="M1" i="15"/>
  <c r="L2" i="15"/>
  <c r="M2" i="15"/>
  <c r="L3" i="15"/>
  <c r="M3" i="15"/>
  <c r="L4" i="15"/>
  <c r="M4" i="15"/>
  <c r="L5" i="15"/>
  <c r="M5" i="15"/>
  <c r="L6" i="15"/>
  <c r="M6" i="15"/>
  <c r="L7" i="15"/>
  <c r="M7" i="15"/>
  <c r="L8" i="15"/>
  <c r="M8" i="15"/>
  <c r="L9" i="15"/>
  <c r="M9" i="15"/>
  <c r="L10" i="15"/>
  <c r="M10" i="15"/>
  <c r="L11" i="15"/>
  <c r="M11" i="15"/>
  <c r="L12" i="15"/>
  <c r="M12" i="15"/>
  <c r="L13" i="15"/>
  <c r="M13" i="15"/>
  <c r="L14" i="15"/>
  <c r="M14" i="15"/>
  <c r="L15" i="15"/>
  <c r="M15" i="15"/>
  <c r="L16" i="15"/>
  <c r="M16" i="15"/>
  <c r="L17" i="15"/>
  <c r="M17" i="15"/>
  <c r="L18" i="15"/>
  <c r="M18" i="15"/>
  <c r="L19" i="15"/>
  <c r="M19" i="15"/>
  <c r="L20" i="15"/>
  <c r="M20" i="15"/>
  <c r="L21" i="15"/>
  <c r="M21" i="15"/>
  <c r="L22" i="15"/>
  <c r="M22" i="15"/>
  <c r="L23" i="15"/>
  <c r="M23" i="15"/>
  <c r="L24" i="15"/>
  <c r="M24" i="15"/>
  <c r="L25" i="15"/>
  <c r="M25" i="15"/>
  <c r="L26" i="15"/>
  <c r="M26" i="15"/>
  <c r="L27" i="15"/>
  <c r="M27" i="15"/>
  <c r="L28" i="15"/>
  <c r="M28" i="15"/>
  <c r="L29" i="15"/>
  <c r="M29" i="15"/>
  <c r="L30" i="15"/>
  <c r="M30" i="15"/>
  <c r="L31" i="15"/>
  <c r="M31" i="15"/>
  <c r="L32" i="15"/>
  <c r="M32" i="15"/>
  <c r="L33" i="15"/>
  <c r="M33" i="15"/>
  <c r="L34" i="15"/>
  <c r="M34" i="15"/>
  <c r="L35" i="15"/>
  <c r="M35" i="15"/>
  <c r="L36" i="15"/>
  <c r="M36" i="15"/>
  <c r="L37" i="15"/>
  <c r="M37" i="15"/>
  <c r="L38" i="15"/>
  <c r="M38" i="15"/>
  <c r="L39" i="15"/>
  <c r="M39" i="15"/>
  <c r="L40" i="15"/>
  <c r="M40" i="15"/>
  <c r="L41" i="15"/>
  <c r="M41" i="15"/>
  <c r="L42" i="15"/>
  <c r="M42" i="15"/>
  <c r="L43" i="15"/>
  <c r="M43" i="15"/>
  <c r="L44" i="15"/>
  <c r="M44" i="15"/>
  <c r="L45" i="15"/>
  <c r="M45" i="15"/>
  <c r="L46" i="15"/>
  <c r="M46" i="15"/>
  <c r="L47" i="15"/>
  <c r="M47" i="15"/>
  <c r="L1" i="15"/>
  <c r="O2" i="13" l="1"/>
  <c r="N2" i="13" s="1"/>
  <c r="O3" i="13"/>
  <c r="M3" i="13" s="1"/>
  <c r="O4" i="13"/>
  <c r="N4" i="13" s="1"/>
  <c r="O5" i="13"/>
  <c r="M5" i="13" s="1"/>
  <c r="O6" i="13"/>
  <c r="N6" i="13" s="1"/>
  <c r="O7" i="13"/>
  <c r="O8" i="13"/>
  <c r="O9" i="13"/>
  <c r="O10" i="13"/>
  <c r="M10" i="13" s="1"/>
  <c r="O11" i="13"/>
  <c r="M11" i="13" s="1"/>
  <c r="O12" i="13"/>
  <c r="N12" i="13" s="1"/>
  <c r="O13" i="13"/>
  <c r="M13" i="13" s="1"/>
  <c r="P2" i="13"/>
  <c r="Q2" i="13" s="1"/>
  <c r="L2" i="13" s="1"/>
  <c r="P3" i="13"/>
  <c r="Q3" i="13" s="1"/>
  <c r="L3" i="13" s="1"/>
  <c r="P4" i="13"/>
  <c r="Q4" i="13" s="1"/>
  <c r="L4" i="13" s="1"/>
  <c r="P5" i="13"/>
  <c r="Q5" i="13" s="1"/>
  <c r="L5" i="13" s="1"/>
  <c r="P6" i="13"/>
  <c r="Q6" i="13" s="1"/>
  <c r="L6" i="13" s="1"/>
  <c r="P7" i="13"/>
  <c r="Q7" i="13" s="1"/>
  <c r="L7" i="13" s="1"/>
  <c r="P8" i="13"/>
  <c r="Q8" i="13" s="1"/>
  <c r="L8" i="13" s="1"/>
  <c r="P9" i="13"/>
  <c r="Q9" i="13" s="1"/>
  <c r="L9" i="13" s="1"/>
  <c r="P10" i="13"/>
  <c r="Q10" i="13" s="1"/>
  <c r="L10" i="13" s="1"/>
  <c r="P11" i="13"/>
  <c r="Q11" i="13" s="1"/>
  <c r="L11" i="13" s="1"/>
  <c r="P12" i="13"/>
  <c r="Q12" i="13" s="1"/>
  <c r="L12" i="13" s="1"/>
  <c r="P13" i="13"/>
  <c r="Q13" i="13" s="1"/>
  <c r="L13" i="13" s="1"/>
  <c r="O14" i="13"/>
  <c r="N14" i="13" s="1"/>
  <c r="P14" i="13"/>
  <c r="Q14" i="13" s="1"/>
  <c r="L14" i="13" s="1"/>
  <c r="O15" i="13"/>
  <c r="M15" i="13" s="1"/>
  <c r="P15" i="13"/>
  <c r="Q15" i="13" s="1"/>
  <c r="L15" i="13" s="1"/>
  <c r="O16" i="13"/>
  <c r="M16" i="13" s="1"/>
  <c r="P16" i="13"/>
  <c r="Q16" i="13" s="1"/>
  <c r="L16" i="13" s="1"/>
  <c r="O17" i="13"/>
  <c r="M17" i="13" s="1"/>
  <c r="P17" i="13"/>
  <c r="Q17" i="13" s="1"/>
  <c r="L17" i="13" s="1"/>
  <c r="O18" i="13"/>
  <c r="M18" i="13" s="1"/>
  <c r="P18" i="13"/>
  <c r="Q18" i="13" s="1"/>
  <c r="L18" i="13" s="1"/>
  <c r="O19" i="13"/>
  <c r="M19" i="13" s="1"/>
  <c r="P19" i="13"/>
  <c r="Q19" i="13" s="1"/>
  <c r="L19" i="13" s="1"/>
  <c r="O20" i="13"/>
  <c r="N20" i="13" s="1"/>
  <c r="P20" i="13"/>
  <c r="Q20" i="13" s="1"/>
  <c r="L20" i="13" s="1"/>
  <c r="O21" i="13"/>
  <c r="M21" i="13" s="1"/>
  <c r="P21" i="13"/>
  <c r="Q21" i="13" s="1"/>
  <c r="L21" i="13" s="1"/>
  <c r="O22" i="13"/>
  <c r="N22" i="13" s="1"/>
  <c r="P22" i="13"/>
  <c r="Q22" i="13" s="1"/>
  <c r="L22" i="13" s="1"/>
  <c r="O23" i="13"/>
  <c r="M23" i="13" s="1"/>
  <c r="P23" i="13"/>
  <c r="Q23" i="13" s="1"/>
  <c r="L23" i="13" s="1"/>
  <c r="O24" i="13"/>
  <c r="M24" i="13" s="1"/>
  <c r="P24" i="13"/>
  <c r="Q24" i="13" s="1"/>
  <c r="L24" i="13" s="1"/>
  <c r="O25" i="13"/>
  <c r="M25" i="13" s="1"/>
  <c r="P25" i="13"/>
  <c r="Q25" i="13" s="1"/>
  <c r="L25" i="13" s="1"/>
  <c r="O26" i="13"/>
  <c r="M26" i="13" s="1"/>
  <c r="P26" i="13"/>
  <c r="Q26" i="13" s="1"/>
  <c r="L26" i="13" s="1"/>
  <c r="O27" i="13"/>
  <c r="M27" i="13" s="1"/>
  <c r="P27" i="13"/>
  <c r="Q27" i="13" s="1"/>
  <c r="L27" i="13" s="1"/>
  <c r="O28" i="13"/>
  <c r="N28" i="13" s="1"/>
  <c r="P28" i="13"/>
  <c r="Q28" i="13" s="1"/>
  <c r="L28" i="13" s="1"/>
  <c r="O29" i="13"/>
  <c r="M29" i="13" s="1"/>
  <c r="P29" i="13"/>
  <c r="Q29" i="13" s="1"/>
  <c r="L29" i="13" s="1"/>
  <c r="O30" i="13"/>
  <c r="N30" i="13" s="1"/>
  <c r="P30" i="13"/>
  <c r="Q30" i="13" s="1"/>
  <c r="L30" i="13" s="1"/>
  <c r="O31" i="13"/>
  <c r="M31" i="13" s="1"/>
  <c r="P31" i="13"/>
  <c r="Q31" i="13" s="1"/>
  <c r="L31" i="13" s="1"/>
  <c r="O32" i="13"/>
  <c r="M32" i="13" s="1"/>
  <c r="P32" i="13"/>
  <c r="Q32" i="13" s="1"/>
  <c r="L32" i="13" s="1"/>
  <c r="O33" i="13"/>
  <c r="M33" i="13" s="1"/>
  <c r="P33" i="13"/>
  <c r="Q33" i="13" s="1"/>
  <c r="L33" i="13" s="1"/>
  <c r="O34" i="13"/>
  <c r="M34" i="13" s="1"/>
  <c r="P34" i="13"/>
  <c r="Q34" i="13" s="1"/>
  <c r="L34" i="13" s="1"/>
  <c r="O35" i="13"/>
  <c r="M35" i="13" s="1"/>
  <c r="P35" i="13"/>
  <c r="Q35" i="13" s="1"/>
  <c r="L35" i="13" s="1"/>
  <c r="O36" i="13"/>
  <c r="N36" i="13" s="1"/>
  <c r="P36" i="13"/>
  <c r="Q36" i="13" s="1"/>
  <c r="L36" i="13" s="1"/>
  <c r="O37" i="13"/>
  <c r="M37" i="13" s="1"/>
  <c r="P37" i="13"/>
  <c r="Q37" i="13" s="1"/>
  <c r="L37" i="13" s="1"/>
  <c r="L38" i="13"/>
  <c r="O38" i="13"/>
  <c r="N38" i="13" s="1"/>
  <c r="P38" i="13"/>
  <c r="Q38" i="13" s="1"/>
  <c r="L39" i="13"/>
  <c r="O39" i="13"/>
  <c r="M39" i="13" s="1"/>
  <c r="P39" i="13"/>
  <c r="Q39" i="13" s="1"/>
  <c r="O40" i="13"/>
  <c r="M40" i="13" s="1"/>
  <c r="P40" i="13"/>
  <c r="Q40" i="13" s="1"/>
  <c r="L40" i="13" s="1"/>
  <c r="O41" i="13"/>
  <c r="M41" i="13" s="1"/>
  <c r="P41" i="13"/>
  <c r="Q41" i="13" s="1"/>
  <c r="L41" i="13" s="1"/>
  <c r="O42" i="13"/>
  <c r="M42" i="13" s="1"/>
  <c r="P42" i="13"/>
  <c r="Q42" i="13" s="1"/>
  <c r="L42" i="13" s="1"/>
  <c r="O43" i="13"/>
  <c r="M43" i="13" s="1"/>
  <c r="P43" i="13"/>
  <c r="Q43" i="13" s="1"/>
  <c r="L43" i="13" s="1"/>
  <c r="O44" i="13"/>
  <c r="N44" i="13" s="1"/>
  <c r="P44" i="13"/>
  <c r="Q44" i="13" s="1"/>
  <c r="L44" i="13" s="1"/>
  <c r="O45" i="13"/>
  <c r="M45" i="13" s="1"/>
  <c r="P45" i="13"/>
  <c r="Q45" i="13" s="1"/>
  <c r="L45" i="13" s="1"/>
  <c r="O46" i="13"/>
  <c r="N46" i="13" s="1"/>
  <c r="P46" i="13"/>
  <c r="Q46" i="13" s="1"/>
  <c r="L46" i="13" s="1"/>
  <c r="O47" i="13"/>
  <c r="M47" i="13" s="1"/>
  <c r="P47" i="13"/>
  <c r="Q47" i="13" s="1"/>
  <c r="L47" i="13" s="1"/>
  <c r="O48" i="13"/>
  <c r="M48" i="13" s="1"/>
  <c r="P48" i="13"/>
  <c r="Q48" i="13" s="1"/>
  <c r="L48" i="13" s="1"/>
  <c r="O49" i="13"/>
  <c r="M49" i="13" s="1"/>
  <c r="P49" i="13"/>
  <c r="Q49" i="13" s="1"/>
  <c r="L49" i="13" s="1"/>
  <c r="O50" i="13"/>
  <c r="M50" i="13" s="1"/>
  <c r="P50" i="13"/>
  <c r="Q50" i="13" s="1"/>
  <c r="L50" i="13" s="1"/>
  <c r="O51" i="13"/>
  <c r="P51" i="13"/>
  <c r="Q51" i="13" s="1"/>
  <c r="L51" i="13" s="1"/>
  <c r="O52" i="13"/>
  <c r="P52" i="13"/>
  <c r="Q52" i="13" s="1"/>
  <c r="L52" i="13" s="1"/>
  <c r="O53" i="13"/>
  <c r="P53" i="13"/>
  <c r="Q53" i="13" s="1"/>
  <c r="L53" i="13" s="1"/>
  <c r="O54" i="13"/>
  <c r="P54" i="13"/>
  <c r="Q54" i="13" s="1"/>
  <c r="L54" i="13" s="1"/>
  <c r="O55" i="13"/>
  <c r="P55" i="13"/>
  <c r="Q55" i="13" s="1"/>
  <c r="L55" i="13" s="1"/>
  <c r="O56" i="13"/>
  <c r="P56" i="13"/>
  <c r="Q56" i="13" s="1"/>
  <c r="L56" i="13" s="1"/>
  <c r="O57" i="13"/>
  <c r="P57" i="13"/>
  <c r="Q57" i="13" s="1"/>
  <c r="L57" i="13" s="1"/>
  <c r="O58" i="13"/>
  <c r="P58" i="13"/>
  <c r="Q58" i="13" s="1"/>
  <c r="L58" i="13" s="1"/>
  <c r="O59" i="13"/>
  <c r="P59" i="13"/>
  <c r="Q59" i="13" s="1"/>
  <c r="L59" i="13" s="1"/>
  <c r="O60" i="13"/>
  <c r="P60" i="13"/>
  <c r="Q60" i="13" s="1"/>
  <c r="M9" i="13" l="1"/>
  <c r="M8" i="13"/>
  <c r="M7" i="13"/>
  <c r="N50" i="13"/>
  <c r="N42" i="13"/>
  <c r="N34" i="13"/>
  <c r="M20" i="13"/>
  <c r="M12" i="13"/>
  <c r="M4" i="13"/>
  <c r="M44" i="13"/>
  <c r="M36" i="13"/>
  <c r="M28" i="13"/>
  <c r="N26" i="13"/>
  <c r="N18" i="13"/>
  <c r="N10" i="13"/>
  <c r="M2" i="13"/>
  <c r="N48" i="13"/>
  <c r="N40" i="13"/>
  <c r="N32" i="13"/>
  <c r="N24" i="13"/>
  <c r="N16" i="13"/>
  <c r="N8" i="13"/>
  <c r="M46" i="13"/>
  <c r="M38" i="13"/>
  <c r="M30" i="13"/>
  <c r="M22" i="13"/>
  <c r="M14" i="13"/>
  <c r="M6" i="13"/>
  <c r="N49" i="13"/>
  <c r="N47" i="13"/>
  <c r="N45" i="13"/>
  <c r="N43" i="13"/>
  <c r="N41" i="13"/>
  <c r="N39" i="13"/>
  <c r="N37" i="13"/>
  <c r="N35" i="13"/>
  <c r="N33" i="13"/>
  <c r="N31" i="13"/>
  <c r="N29" i="13"/>
  <c r="N27" i="13"/>
  <c r="N25" i="13"/>
  <c r="N23" i="13"/>
  <c r="N21" i="13"/>
  <c r="N19" i="13"/>
  <c r="N17" i="13"/>
  <c r="N15" i="13"/>
  <c r="N13" i="13"/>
  <c r="N11" i="13"/>
  <c r="N9" i="13"/>
  <c r="N7" i="13"/>
  <c r="N5" i="13"/>
  <c r="N3" i="13"/>
</calcChain>
</file>

<file path=xl/sharedStrings.xml><?xml version="1.0" encoding="utf-8"?>
<sst xmlns="http://schemas.openxmlformats.org/spreadsheetml/2006/main" count="1049" uniqueCount="108">
  <si>
    <t>BS</t>
  </si>
  <si>
    <t>SF</t>
  </si>
  <si>
    <t>TS</t>
  </si>
  <si>
    <t>BA</t>
  </si>
  <si>
    <t>RE</t>
  </si>
  <si>
    <t>FR</t>
  </si>
  <si>
    <t>GV</t>
  </si>
  <si>
    <t>GR</t>
  </si>
  <si>
    <t>MS</t>
  </si>
  <si>
    <t>PS</t>
  </si>
  <si>
    <t>RR</t>
  </si>
  <si>
    <t>SS</t>
  </si>
  <si>
    <t>TG</t>
  </si>
  <si>
    <t>WW</t>
  </si>
  <si>
    <t>RN</t>
  </si>
  <si>
    <t>WF</t>
  </si>
  <si>
    <t>CA#</t>
  </si>
  <si>
    <t xml:space="preserve"> - Paper out of alignment, not able to feed - CA# </t>
  </si>
  <si>
    <t xml:space="preserve"> - Printer communication issue - CA# </t>
  </si>
  <si>
    <t xml:space="preserve"> - Out of paper - CA# </t>
  </si>
  <si>
    <t xml:space="preserve"> - Paper Jam - CA# </t>
  </si>
  <si>
    <t xml:space="preserve"> - Kiosk Offline - CA# </t>
  </si>
  <si>
    <t>ITOperationsWestside</t>
  </si>
  <si>
    <t>ITOperationsEastside</t>
  </si>
  <si>
    <t>ITOperationsNorthSide</t>
  </si>
  <si>
    <t>Barleys-MOD</t>
  </si>
  <si>
    <t>Group-Boulder-SlotSupervisors</t>
  </si>
  <si>
    <t>GroupFiestaRSlotTechs</t>
  </si>
  <si>
    <t>GoldRushMOD</t>
  </si>
  <si>
    <t>GreenValleySlots</t>
  </si>
  <si>
    <t>WFBSlots</t>
  </si>
  <si>
    <t>Palace-SlotShiftSupervisors</t>
  </si>
  <si>
    <t>Group-WFL-MODParticipants</t>
  </si>
  <si>
    <t>Group-FiestaH-SlotManagers</t>
  </si>
  <si>
    <t>GroupRedRockSlots</t>
  </si>
  <si>
    <t>SantaFeSlotDepartment</t>
  </si>
  <si>
    <t>Group-Sunset-SlotLeads</t>
  </si>
  <si>
    <t>GroupWFRMOD</t>
  </si>
  <si>
    <t>WWWSlots</t>
  </si>
  <si>
    <t>FH</t>
  </si>
  <si>
    <t>Error</t>
  </si>
  <si>
    <t>OK</t>
  </si>
  <si>
    <t>|SystemError|MissingTopOfForm|</t>
  </si>
  <si>
    <t>|SystemError|</t>
  </si>
  <si>
    <t>|PaperOut|SystemError|</t>
  </si>
  <si>
    <t>|InvalidStatus|</t>
  </si>
  <si>
    <t xml:space="preserve"> </t>
  </si>
  <si>
    <t>idle</t>
  </si>
  <si>
    <t>in use</t>
  </si>
  <si>
    <t>WA</t>
  </si>
  <si>
    <t>WV</t>
  </si>
  <si>
    <t>TexasSlots;TexasSlotTechs</t>
  </si>
  <si>
    <t>|PaperJamMayExist|</t>
  </si>
  <si>
    <t>1.3.0.0</t>
  </si>
  <si>
    <t>10.251.104.86</t>
  </si>
  <si>
    <t xml:space="preserve">10/14/15 20:08 PM: </t>
  </si>
  <si>
    <t>Printer:  OK</t>
  </si>
  <si>
    <t>Card Reader:  OK     Camera:  OK     PIN Pad:  OK</t>
  </si>
  <si>
    <t>Offline</t>
  </si>
  <si>
    <t>3.1.2.3</t>
  </si>
  <si>
    <t>10.251.75.57</t>
  </si>
  <si>
    <t xml:space="preserve">10/14/15 19:58 PM: </t>
  </si>
  <si>
    <t>Card Reader:  OK     Camera:  OK     PIN Pad:  ERR</t>
  </si>
  <si>
    <t>10.7.174.16</t>
  </si>
  <si>
    <t>BSSK011</t>
  </si>
  <si>
    <t xml:space="preserve">10/17/15 19:07 PM: </t>
  </si>
  <si>
    <t>Printer:  ERR</t>
  </si>
  <si>
    <t>Card Reader:  ERR     Camera:  ERR     PIN Pad:  ERR</t>
  </si>
  <si>
    <t>BSSK012</t>
  </si>
  <si>
    <t xml:space="preserve">10/17/15 19:06 PM: </t>
  </si>
  <si>
    <t>BSSK013</t>
  </si>
  <si>
    <t>BSSK014</t>
  </si>
  <si>
    <t>MININT-D5HQG4P</t>
  </si>
  <si>
    <t>MININT-PV40EG6</t>
  </si>
  <si>
    <t xml:space="preserve">10/15/15 16:05 PM: </t>
  </si>
  <si>
    <t>PSMK0016</t>
  </si>
  <si>
    <t>SFMK0015</t>
  </si>
  <si>
    <t xml:space="preserve">10/15/15 15:27 PM: </t>
  </si>
  <si>
    <t>SFMK0018</t>
  </si>
  <si>
    <t xml:space="preserve">10/15/15 15:38 PM: </t>
  </si>
  <si>
    <t>SSSK035</t>
  </si>
  <si>
    <t>3.1.2.2</t>
  </si>
  <si>
    <t>Printer:  |PaperOut|SystemError|</t>
  </si>
  <si>
    <t>Idle</t>
  </si>
  <si>
    <t>GVSK0013</t>
  </si>
  <si>
    <t>SFSK0020</t>
  </si>
  <si>
    <t>Card Reader:  OK     Camera:  ERR     PIN Pad:  OK</t>
  </si>
  <si>
    <t>InUse</t>
  </si>
  <si>
    <t>SSSK027</t>
  </si>
  <si>
    <t>Printer:  |SystemError|MissingTopOfForm|</t>
  </si>
  <si>
    <t>TSSK0011</t>
  </si>
  <si>
    <t>0 mins</t>
  </si>
  <si>
    <t>5288 mins</t>
  </si>
  <si>
    <t>5298 mins</t>
  </si>
  <si>
    <t>72 mins</t>
  </si>
  <si>
    <t>1029 mins</t>
  </si>
  <si>
    <t>1030 mins</t>
  </si>
  <si>
    <t>4337 mins</t>
  </si>
  <si>
    <t>4091 mins</t>
  </si>
  <si>
    <t>51 mins</t>
  </si>
  <si>
    <t>PSSK0017</t>
  </si>
  <si>
    <t>4129 mins</t>
  </si>
  <si>
    <t>4118 mins</t>
  </si>
  <si>
    <t>7250 mins</t>
  </si>
  <si>
    <t>BSSK025</t>
  </si>
  <si>
    <t>GVSK0020</t>
  </si>
  <si>
    <t>PSSK0014</t>
  </si>
  <si>
    <t>PSSK0026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</si>
</sst>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FFFF"/>
      <name val="Segoe UI"/>
      <family val="2"/>
    </font>
    <font>
      <u/>
      <sz val="12"/>
      <color rgb="FFFFFFFF"/>
      <name val="Segoe UI"/>
      <family val="2"/>
    </font>
    <font>
      <sz val="12"/>
      <color rgb="FF232323"/>
      <name val="Segoe UI"/>
      <family val="2"/>
    </font>
    <font>
      <u/>
      <sz val="12"/>
      <color rgb="FF232323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E27D7D"/>
        <bgColor indexed="64"/>
      </patternFill>
    </fill>
    <fill>
      <patternFill patternType="solid">
        <fgColor rgb="FFFEED9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D3D3D3"/>
      </bottom>
      <diagonal/>
    </border>
    <border>
      <left style="medium">
        <color rgb="FFD3D3D3"/>
      </left>
      <right/>
      <top/>
      <bottom style="medium">
        <color rgb="FFD3D3D3"/>
      </bottom>
      <diagonal/>
    </border>
    <border>
      <left style="medium">
        <color rgb="FFD3D3D3"/>
      </left>
      <right/>
      <top/>
      <bottom/>
      <diagonal/>
    </border>
    <border>
      <left/>
      <right style="medium">
        <color rgb="FFD3D3D3"/>
      </right>
      <top/>
      <bottom/>
      <diagonal/>
    </border>
    <border>
      <left/>
      <right style="medium">
        <color rgb="FFD3D3D3"/>
      </right>
      <top/>
      <bottom style="medium">
        <color rgb="FFD3D3D3"/>
      </bottom>
      <diagonal/>
    </border>
    <border>
      <left style="medium">
        <color rgb="FFD3D3D3"/>
      </left>
      <right style="medium">
        <color rgb="FFD3D3D3"/>
      </right>
      <top/>
      <bottom/>
      <diagonal/>
    </border>
    <border>
      <left style="medium">
        <color rgb="FFD3D3D3"/>
      </left>
      <right style="medium">
        <color rgb="FFD3D3D3"/>
      </right>
      <top/>
      <bottom style="medium">
        <color rgb="FFD3D3D3"/>
      </bottom>
      <diagonal/>
    </border>
    <border>
      <left/>
      <right/>
      <top style="medium">
        <color rgb="FFD3D3D3"/>
      </top>
      <bottom/>
      <diagonal/>
    </border>
    <border>
      <left/>
      <right style="medium">
        <color rgb="FFD3D3D3"/>
      </right>
      <top style="medium">
        <color rgb="FFD3D3D3"/>
      </top>
      <bottom/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/>
      <diagonal/>
    </border>
    <border>
      <left style="medium">
        <color rgb="FFD3D3D3"/>
      </left>
      <right/>
      <top style="medium">
        <color rgb="FFD3D3D3"/>
      </top>
      <bottom/>
      <diagonal/>
    </border>
  </borders>
  <cellStyleXfs count="1">
    <xf numFmtId="164" fontId="0" fillId="0" borderId="0"/>
  </cellStyleXfs>
  <cellXfs count="50">
    <xf numFmtId="164" fontId="0" fillId="0" borderId="0" xfId="0"/>
    <xf numFmtId="164" fontId="0" fillId="0" borderId="0" xfId="0" applyAlignment="1">
      <alignment horizontal="left"/>
    </xf>
    <xf numFmtId="164" fontId="2" fillId="0" borderId="0" xfId="0" applyFont="1" applyAlignment="1" applyProtection="1">
      <alignment horizontal="center"/>
    </xf>
    <xf numFmtId="164" fontId="1" fillId="0" borderId="0" xfId="0" applyFont="1" applyAlignment="1" applyProtection="1">
      <alignment horizontal="center"/>
    </xf>
    <xf numFmtId="164" fontId="1" fillId="0" borderId="0" xfId="0" applyFont="1" applyProtection="1"/>
    <xf numFmtId="164" fontId="3" fillId="0" borderId="0" xfId="0" applyFont="1" applyAlignment="1" applyProtection="1">
      <alignment horizontal="center"/>
    </xf>
    <xf numFmtId="164" fontId="4" fillId="0" borderId="0" xfId="0" applyFont="1" applyProtection="1"/>
    <xf numFmtId="164" fontId="2" fillId="0" borderId="0" xfId="0" applyFont="1" applyAlignment="1" applyProtection="1">
      <alignment horizontal="center" vertical="center"/>
    </xf>
    <xf numFmtId="164" fontId="1" fillId="0" borderId="0" xfId="0" applyFont="1" applyAlignment="1" applyProtection="1">
      <alignment horizontal="left"/>
    </xf>
    <xf numFmtId="164" fontId="2" fillId="0" borderId="0" xfId="0" applyNumberFormat="1" applyFont="1" applyAlignment="1" applyProtection="1">
      <alignment horizontal="center" vertical="center"/>
    </xf>
    <xf numFmtId="164" fontId="1" fillId="0" borderId="0" xfId="0" applyNumberFormat="1" applyFont="1" applyAlignment="1" applyProtection="1">
      <alignment horizontal="center"/>
    </xf>
    <xf numFmtId="164" fontId="0" fillId="0" borderId="0" xfId="0" applyAlignment="1" applyProtection="1">
      <alignment horizontal="left"/>
    </xf>
    <xf numFmtId="0" fontId="0" fillId="0" borderId="0" xfId="0" applyNumberFormat="1"/>
    <xf numFmtId="164" fontId="5" fillId="2" borderId="0" xfId="0" applyFont="1" applyFill="1" applyAlignment="1" applyProtection="1">
      <alignment vertical="center" wrapText="1"/>
      <protection locked="0"/>
    </xf>
    <xf numFmtId="164" fontId="5" fillId="2" borderId="4" xfId="0" applyFont="1" applyFill="1" applyBorder="1" applyAlignment="1" applyProtection="1">
      <alignment vertical="center" wrapText="1"/>
      <protection locked="0"/>
    </xf>
    <xf numFmtId="164" fontId="5" fillId="2" borderId="6" xfId="0" applyFont="1" applyFill="1" applyBorder="1" applyAlignment="1" applyProtection="1">
      <alignment vertical="center" wrapText="1"/>
      <protection locked="0"/>
    </xf>
    <xf numFmtId="164" fontId="5" fillId="2" borderId="3" xfId="0" applyFont="1" applyFill="1" applyBorder="1" applyAlignment="1" applyProtection="1">
      <alignment vertical="center" wrapText="1"/>
      <protection locked="0"/>
    </xf>
    <xf numFmtId="164" fontId="6" fillId="2" borderId="3" xfId="0" applyFont="1" applyFill="1" applyBorder="1" applyAlignment="1" applyProtection="1">
      <alignment horizontal="left" vertical="center" wrapText="1"/>
      <protection locked="0"/>
    </xf>
    <xf numFmtId="164" fontId="5" fillId="2" borderId="6" xfId="0" applyFont="1" applyFill="1" applyBorder="1" applyAlignment="1" applyProtection="1">
      <alignment horizontal="left" vertical="center" wrapText="1"/>
      <protection locked="0"/>
    </xf>
    <xf numFmtId="164" fontId="5" fillId="2" borderId="3" xfId="0" applyFont="1" applyFill="1" applyBorder="1" applyAlignment="1" applyProtection="1">
      <alignment horizontal="right" vertical="center" wrapText="1"/>
      <protection locked="0"/>
    </xf>
    <xf numFmtId="0" fontId="0" fillId="0" borderId="0" xfId="0" applyNumberFormat="1" applyProtection="1">
      <protection locked="0"/>
    </xf>
    <xf numFmtId="164" fontId="5" fillId="2" borderId="1" xfId="0" applyFont="1" applyFill="1" applyBorder="1" applyAlignment="1" applyProtection="1">
      <alignment vertical="center" wrapText="1"/>
      <protection locked="0"/>
    </xf>
    <xf numFmtId="164" fontId="5" fillId="2" borderId="5" xfId="0" applyFont="1" applyFill="1" applyBorder="1" applyAlignment="1" applyProtection="1">
      <alignment vertical="center" wrapText="1"/>
      <protection locked="0"/>
    </xf>
    <xf numFmtId="164" fontId="5" fillId="2" borderId="7" xfId="0" applyFont="1" applyFill="1" applyBorder="1" applyAlignment="1" applyProtection="1">
      <alignment vertical="center" wrapText="1"/>
      <protection locked="0"/>
    </xf>
    <xf numFmtId="164" fontId="5" fillId="2" borderId="2" xfId="0" applyFont="1" applyFill="1" applyBorder="1" applyAlignment="1" applyProtection="1">
      <alignment vertical="center" wrapText="1"/>
      <protection locked="0"/>
    </xf>
    <xf numFmtId="164" fontId="6" fillId="2" borderId="2" xfId="0" applyFont="1" applyFill="1" applyBorder="1" applyAlignment="1" applyProtection="1">
      <alignment horizontal="left" vertical="center" wrapText="1"/>
      <protection locked="0"/>
    </xf>
    <xf numFmtId="164" fontId="5" fillId="2" borderId="7" xfId="0" applyFont="1" applyFill="1" applyBorder="1" applyAlignment="1" applyProtection="1">
      <alignment horizontal="left" vertical="center" wrapText="1"/>
      <protection locked="0"/>
    </xf>
    <xf numFmtId="164" fontId="5" fillId="2" borderId="2" xfId="0" applyFont="1" applyFill="1" applyBorder="1" applyAlignment="1" applyProtection="1">
      <alignment horizontal="right" vertical="center" wrapText="1"/>
      <protection locked="0"/>
    </xf>
    <xf numFmtId="164" fontId="5" fillId="2" borderId="8" xfId="0" applyFont="1" applyFill="1" applyBorder="1" applyAlignment="1" applyProtection="1">
      <alignment vertical="center" wrapText="1"/>
      <protection locked="0"/>
    </xf>
    <xf numFmtId="164" fontId="5" fillId="2" borderId="9" xfId="0" applyFont="1" applyFill="1" applyBorder="1" applyAlignment="1" applyProtection="1">
      <alignment vertical="center" wrapText="1"/>
      <protection locked="0"/>
    </xf>
    <xf numFmtId="164" fontId="5" fillId="2" borderId="10" xfId="0" applyFont="1" applyFill="1" applyBorder="1" applyAlignment="1" applyProtection="1">
      <alignment vertical="center" wrapText="1"/>
      <protection locked="0"/>
    </xf>
    <xf numFmtId="164" fontId="5" fillId="2" borderId="10" xfId="0" applyFont="1" applyFill="1" applyBorder="1" applyAlignment="1" applyProtection="1">
      <alignment horizontal="left" vertical="center" wrapText="1"/>
      <protection locked="0"/>
    </xf>
    <xf numFmtId="164" fontId="5" fillId="2" borderId="11" xfId="0" applyFont="1" applyFill="1" applyBorder="1" applyAlignment="1" applyProtection="1">
      <alignment horizontal="right" vertical="center" wrapText="1"/>
      <protection locked="0"/>
    </xf>
    <xf numFmtId="164" fontId="7" fillId="3" borderId="8" xfId="0" applyFont="1" applyFill="1" applyBorder="1" applyAlignment="1" applyProtection="1">
      <alignment vertical="center" wrapText="1"/>
      <protection locked="0"/>
    </xf>
    <xf numFmtId="164" fontId="7" fillId="3" borderId="9" xfId="0" applyFont="1" applyFill="1" applyBorder="1" applyAlignment="1" applyProtection="1">
      <alignment vertical="center" wrapText="1"/>
      <protection locked="0"/>
    </xf>
    <xf numFmtId="164" fontId="7" fillId="3" borderId="10" xfId="0" applyFont="1" applyFill="1" applyBorder="1" applyAlignment="1" applyProtection="1">
      <alignment vertical="center" wrapText="1"/>
      <protection locked="0"/>
    </xf>
    <xf numFmtId="164" fontId="7" fillId="3" borderId="3" xfId="0" applyFont="1" applyFill="1" applyBorder="1" applyAlignment="1" applyProtection="1">
      <alignment vertical="center" wrapText="1"/>
      <protection locked="0"/>
    </xf>
    <xf numFmtId="164" fontId="8" fillId="3" borderId="3" xfId="0" applyFont="1" applyFill="1" applyBorder="1" applyAlignment="1" applyProtection="1">
      <alignment horizontal="left" vertical="center" wrapText="1"/>
      <protection locked="0"/>
    </xf>
    <xf numFmtId="164" fontId="7" fillId="3" borderId="10" xfId="0" applyFont="1" applyFill="1" applyBorder="1" applyAlignment="1" applyProtection="1">
      <alignment horizontal="left" vertical="center" wrapText="1"/>
      <protection locked="0"/>
    </xf>
    <xf numFmtId="164" fontId="7" fillId="3" borderId="11" xfId="0" applyFont="1" applyFill="1" applyBorder="1" applyAlignment="1" applyProtection="1">
      <alignment horizontal="right" vertical="center" wrapText="1"/>
      <protection locked="0"/>
    </xf>
    <xf numFmtId="164" fontId="7" fillId="3" borderId="1" xfId="0" applyFont="1" applyFill="1" applyBorder="1" applyAlignment="1" applyProtection="1">
      <alignment vertical="center" wrapText="1"/>
      <protection locked="0"/>
    </xf>
    <xf numFmtId="164" fontId="7" fillId="3" borderId="5" xfId="0" applyFont="1" applyFill="1" applyBorder="1" applyAlignment="1" applyProtection="1">
      <alignment vertical="center" wrapText="1"/>
      <protection locked="0"/>
    </xf>
    <xf numFmtId="164" fontId="7" fillId="3" borderId="7" xfId="0" applyFont="1" applyFill="1" applyBorder="1" applyAlignment="1" applyProtection="1">
      <alignment vertical="center" wrapText="1"/>
      <protection locked="0"/>
    </xf>
    <xf numFmtId="164" fontId="7" fillId="3" borderId="2" xfId="0" applyFont="1" applyFill="1" applyBorder="1" applyAlignment="1" applyProtection="1">
      <alignment vertical="center" wrapText="1"/>
      <protection locked="0"/>
    </xf>
    <xf numFmtId="164" fontId="8" fillId="3" borderId="2" xfId="0" applyFont="1" applyFill="1" applyBorder="1" applyAlignment="1" applyProtection="1">
      <alignment horizontal="left" vertical="center" wrapText="1"/>
      <protection locked="0"/>
    </xf>
    <xf numFmtId="164" fontId="7" fillId="3" borderId="7" xfId="0" applyFont="1" applyFill="1" applyBorder="1" applyAlignment="1" applyProtection="1">
      <alignment horizontal="left" vertical="center" wrapText="1"/>
      <protection locked="0"/>
    </xf>
    <xf numFmtId="164" fontId="7" fillId="3" borderId="2" xfId="0" applyFont="1" applyFill="1" applyBorder="1" applyAlignment="1" applyProtection="1">
      <alignment horizontal="right" vertical="center" wrapText="1"/>
      <protection locked="0"/>
    </xf>
    <xf numFmtId="22" fontId="0" fillId="0" borderId="0" xfId="0" applyNumberFormat="1" applyProtection="1">
      <protection locked="0"/>
    </xf>
    <xf numFmtId="164" fontId="0" fillId="0" borderId="0" xfId="0" applyNumberFormat="1" applyProtection="1"/>
    <xf numFmtId="0" fontId="0" fillId="0" borderId="0" xfId="0" applyNumberFormat="1" applyProtection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0</xdr:row>
          <xdr:rowOff>47625</xdr:rowOff>
        </xdr:from>
        <xdr:to>
          <xdr:col>6</xdr:col>
          <xdr:colOff>752475</xdr:colOff>
          <xdr:row>0</xdr:row>
          <xdr:rowOff>400050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</xdr:rowOff>
        </xdr:from>
        <xdr:to>
          <xdr:col>11</xdr:col>
          <xdr:colOff>2981325</xdr:colOff>
          <xdr:row>0</xdr:row>
          <xdr:rowOff>390525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771525</xdr:colOff>
          <xdr:row>0</xdr:row>
          <xdr:rowOff>47625</xdr:rowOff>
        </xdr:from>
        <xdr:to>
          <xdr:col>6</xdr:col>
          <xdr:colOff>1133475</xdr:colOff>
          <xdr:row>0</xdr:row>
          <xdr:rowOff>400050</xdr:rowOff>
        </xdr:to>
        <xdr:sp macro="" textlink="">
          <xdr:nvSpPr>
            <xdr:cNvPr id="19459" name="CommandButton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1152525</xdr:colOff>
          <xdr:row>0</xdr:row>
          <xdr:rowOff>47625</xdr:rowOff>
        </xdr:from>
        <xdr:to>
          <xdr:col>6</xdr:col>
          <xdr:colOff>1514475</xdr:colOff>
          <xdr:row>0</xdr:row>
          <xdr:rowOff>400050</xdr:rowOff>
        </xdr:to>
        <xdr:sp macro="" textlink="">
          <xdr:nvSpPr>
            <xdr:cNvPr id="19460" name="CommandButton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47625</xdr:rowOff>
        </xdr:from>
        <xdr:to>
          <xdr:col>3</xdr:col>
          <xdr:colOff>514350</xdr:colOff>
          <xdr:row>0</xdr:row>
          <xdr:rowOff>400050</xdr:rowOff>
        </xdr:to>
        <xdr:sp macro="" textlink="">
          <xdr:nvSpPr>
            <xdr:cNvPr id="19461" name="CommandButton6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1543050</xdr:colOff>
          <xdr:row>0</xdr:row>
          <xdr:rowOff>47625</xdr:rowOff>
        </xdr:from>
        <xdr:to>
          <xdr:col>6</xdr:col>
          <xdr:colOff>2124075</xdr:colOff>
          <xdr:row>0</xdr:row>
          <xdr:rowOff>400050</xdr:rowOff>
        </xdr:to>
        <xdr:sp macro="" textlink="">
          <xdr:nvSpPr>
            <xdr:cNvPr id="19462" name="CommandButton5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0</xdr:row>
          <xdr:rowOff>47625</xdr:rowOff>
        </xdr:from>
        <xdr:to>
          <xdr:col>6</xdr:col>
          <xdr:colOff>257175</xdr:colOff>
          <xdr:row>0</xdr:row>
          <xdr:rowOff>400050</xdr:rowOff>
        </xdr:to>
        <xdr:sp macro="" textlink="">
          <xdr:nvSpPr>
            <xdr:cNvPr id="19467" name="CommandButton7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85725</xdr:rowOff>
    </xdr:to>
    <xdr:pic>
      <xdr:nvPicPr>
        <xdr:cNvPr id="50" name="Picture 49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304800</xdr:colOff>
      <xdr:row>1</xdr:row>
      <xdr:rowOff>85725</xdr:rowOff>
    </xdr:to>
    <xdr:pic>
      <xdr:nvPicPr>
        <xdr:cNvPr id="51" name="Picture 50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85725</xdr:rowOff>
    </xdr:to>
    <xdr:pic>
      <xdr:nvPicPr>
        <xdr:cNvPr id="52" name="Picture 51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220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9</xdr:col>
      <xdr:colOff>304800</xdr:colOff>
      <xdr:row>3</xdr:row>
      <xdr:rowOff>85725</xdr:rowOff>
    </xdr:to>
    <xdr:pic>
      <xdr:nvPicPr>
        <xdr:cNvPr id="53" name="Picture 52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20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85725</xdr:rowOff>
    </xdr:to>
    <xdr:pic>
      <xdr:nvPicPr>
        <xdr:cNvPr id="54" name="Picture 53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440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304800</xdr:colOff>
      <xdr:row>5</xdr:row>
      <xdr:rowOff>85725</xdr:rowOff>
    </xdr:to>
    <xdr:pic>
      <xdr:nvPicPr>
        <xdr:cNvPr id="55" name="Picture 54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40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85725</xdr:rowOff>
    </xdr:to>
    <xdr:pic>
      <xdr:nvPicPr>
        <xdr:cNvPr id="56" name="Picture 55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660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85725</xdr:rowOff>
    </xdr:to>
    <xdr:pic>
      <xdr:nvPicPr>
        <xdr:cNvPr id="57" name="Picture 56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660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85725</xdr:rowOff>
    </xdr:to>
    <xdr:pic>
      <xdr:nvPicPr>
        <xdr:cNvPr id="58" name="Picture 57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880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8</xdr:row>
      <xdr:rowOff>0</xdr:rowOff>
    </xdr:from>
    <xdr:to>
      <xdr:col>9</xdr:col>
      <xdr:colOff>304800</xdr:colOff>
      <xdr:row>9</xdr:row>
      <xdr:rowOff>85725</xdr:rowOff>
    </xdr:to>
    <xdr:pic>
      <xdr:nvPicPr>
        <xdr:cNvPr id="59" name="Picture 58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880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85725</xdr:rowOff>
    </xdr:to>
    <xdr:pic>
      <xdr:nvPicPr>
        <xdr:cNvPr id="60" name="Picture 59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10</xdr:row>
      <xdr:rowOff>0</xdr:rowOff>
    </xdr:from>
    <xdr:to>
      <xdr:col>9</xdr:col>
      <xdr:colOff>304800</xdr:colOff>
      <xdr:row>11</xdr:row>
      <xdr:rowOff>85725</xdr:rowOff>
    </xdr:to>
    <xdr:pic>
      <xdr:nvPicPr>
        <xdr:cNvPr id="61" name="Picture 60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1100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85725</xdr:rowOff>
    </xdr:to>
    <xdr:pic>
      <xdr:nvPicPr>
        <xdr:cNvPr id="62" name="Picture 61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1320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12</xdr:row>
      <xdr:rowOff>0</xdr:rowOff>
    </xdr:from>
    <xdr:to>
      <xdr:col>9</xdr:col>
      <xdr:colOff>304800</xdr:colOff>
      <xdr:row>13</xdr:row>
      <xdr:rowOff>85725</xdr:rowOff>
    </xdr:to>
    <xdr:pic>
      <xdr:nvPicPr>
        <xdr:cNvPr id="63" name="Picture 62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1320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85725</xdr:rowOff>
    </xdr:to>
    <xdr:pic>
      <xdr:nvPicPr>
        <xdr:cNvPr id="64" name="Picture 63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1540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304800</xdr:colOff>
      <xdr:row>15</xdr:row>
      <xdr:rowOff>85725</xdr:rowOff>
    </xdr:to>
    <xdr:pic>
      <xdr:nvPicPr>
        <xdr:cNvPr id="65" name="Picture 64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1540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85725</xdr:rowOff>
    </xdr:to>
    <xdr:pic>
      <xdr:nvPicPr>
        <xdr:cNvPr id="66" name="Picture 65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176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16</xdr:row>
      <xdr:rowOff>0</xdr:rowOff>
    </xdr:from>
    <xdr:to>
      <xdr:col>9</xdr:col>
      <xdr:colOff>304800</xdr:colOff>
      <xdr:row>17</xdr:row>
      <xdr:rowOff>85725</xdr:rowOff>
    </xdr:to>
    <xdr:pic>
      <xdr:nvPicPr>
        <xdr:cNvPr id="67" name="Picture 66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176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85725</xdr:rowOff>
    </xdr:to>
    <xdr:pic>
      <xdr:nvPicPr>
        <xdr:cNvPr id="68" name="Picture 67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1980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304800</xdr:colOff>
      <xdr:row>19</xdr:row>
      <xdr:rowOff>85725</xdr:rowOff>
    </xdr:to>
    <xdr:pic>
      <xdr:nvPicPr>
        <xdr:cNvPr id="69" name="Picture 68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1980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85725</xdr:rowOff>
    </xdr:to>
    <xdr:pic>
      <xdr:nvPicPr>
        <xdr:cNvPr id="70" name="Picture 69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2200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9</xdr:col>
      <xdr:colOff>304800</xdr:colOff>
      <xdr:row>21</xdr:row>
      <xdr:rowOff>85725</xdr:rowOff>
    </xdr:to>
    <xdr:pic>
      <xdr:nvPicPr>
        <xdr:cNvPr id="71" name="Picture 70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200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85725</xdr:rowOff>
    </xdr:to>
    <xdr:pic>
      <xdr:nvPicPr>
        <xdr:cNvPr id="72" name="Picture 71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2420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304800</xdr:colOff>
      <xdr:row>23</xdr:row>
      <xdr:rowOff>85725</xdr:rowOff>
    </xdr:to>
    <xdr:pic>
      <xdr:nvPicPr>
        <xdr:cNvPr id="73" name="Picture 72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420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85725</xdr:rowOff>
    </xdr:to>
    <xdr:pic>
      <xdr:nvPicPr>
        <xdr:cNvPr id="74" name="Picture 73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264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24</xdr:row>
      <xdr:rowOff>0</xdr:rowOff>
    </xdr:from>
    <xdr:to>
      <xdr:col>9</xdr:col>
      <xdr:colOff>304800</xdr:colOff>
      <xdr:row>25</xdr:row>
      <xdr:rowOff>85725</xdr:rowOff>
    </xdr:to>
    <xdr:pic>
      <xdr:nvPicPr>
        <xdr:cNvPr id="75" name="Picture 74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64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85725</xdr:rowOff>
    </xdr:to>
    <xdr:pic>
      <xdr:nvPicPr>
        <xdr:cNvPr id="76" name="Picture 75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2860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26</xdr:row>
      <xdr:rowOff>0</xdr:rowOff>
    </xdr:from>
    <xdr:to>
      <xdr:col>9</xdr:col>
      <xdr:colOff>304800</xdr:colOff>
      <xdr:row>27</xdr:row>
      <xdr:rowOff>85725</xdr:rowOff>
    </xdr:to>
    <xdr:pic>
      <xdr:nvPicPr>
        <xdr:cNvPr id="77" name="Picture 76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860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85725</xdr:rowOff>
    </xdr:to>
    <xdr:pic>
      <xdr:nvPicPr>
        <xdr:cNvPr id="78" name="Picture 77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3080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28</xdr:row>
      <xdr:rowOff>0</xdr:rowOff>
    </xdr:from>
    <xdr:to>
      <xdr:col>9</xdr:col>
      <xdr:colOff>304800</xdr:colOff>
      <xdr:row>29</xdr:row>
      <xdr:rowOff>85725</xdr:rowOff>
    </xdr:to>
    <xdr:pic>
      <xdr:nvPicPr>
        <xdr:cNvPr id="79" name="Picture 78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3080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85725</xdr:rowOff>
    </xdr:to>
    <xdr:pic>
      <xdr:nvPicPr>
        <xdr:cNvPr id="80" name="Picture 79" descr="http://sctestwebapps.stationcasinos.net/KioskMonitor/Content/images/icons/stop_3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330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30</xdr:row>
      <xdr:rowOff>0</xdr:rowOff>
    </xdr:from>
    <xdr:to>
      <xdr:col>9</xdr:col>
      <xdr:colOff>304800</xdr:colOff>
      <xdr:row>31</xdr:row>
      <xdr:rowOff>85725</xdr:rowOff>
    </xdr:to>
    <xdr:pic>
      <xdr:nvPicPr>
        <xdr:cNvPr id="81" name="Picture 80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330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85725</xdr:rowOff>
    </xdr:to>
    <xdr:pic>
      <xdr:nvPicPr>
        <xdr:cNvPr id="82" name="Picture 81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3520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32</xdr:row>
      <xdr:rowOff>0</xdr:rowOff>
    </xdr:from>
    <xdr:to>
      <xdr:col>9</xdr:col>
      <xdr:colOff>304800</xdr:colOff>
      <xdr:row>33</xdr:row>
      <xdr:rowOff>85725</xdr:rowOff>
    </xdr:to>
    <xdr:pic>
      <xdr:nvPicPr>
        <xdr:cNvPr id="83" name="Picture 82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3520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85725</xdr:rowOff>
    </xdr:to>
    <xdr:pic>
      <xdr:nvPicPr>
        <xdr:cNvPr id="84" name="Picture 83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3806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9</xdr:col>
      <xdr:colOff>304800</xdr:colOff>
      <xdr:row>35</xdr:row>
      <xdr:rowOff>85725</xdr:rowOff>
    </xdr:to>
    <xdr:pic>
      <xdr:nvPicPr>
        <xdr:cNvPr id="85" name="Picture 84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3806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85725</xdr:rowOff>
    </xdr:to>
    <xdr:pic>
      <xdr:nvPicPr>
        <xdr:cNvPr id="86" name="Picture 85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409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304800</xdr:colOff>
      <xdr:row>37</xdr:row>
      <xdr:rowOff>85725</xdr:rowOff>
    </xdr:to>
    <xdr:pic>
      <xdr:nvPicPr>
        <xdr:cNvPr id="87" name="Picture 86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09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85725</xdr:rowOff>
    </xdr:to>
    <xdr:pic>
      <xdr:nvPicPr>
        <xdr:cNvPr id="88" name="Picture 87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431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38</xdr:row>
      <xdr:rowOff>0</xdr:rowOff>
    </xdr:from>
    <xdr:to>
      <xdr:col>9</xdr:col>
      <xdr:colOff>304800</xdr:colOff>
      <xdr:row>39</xdr:row>
      <xdr:rowOff>85725</xdr:rowOff>
    </xdr:to>
    <xdr:pic>
      <xdr:nvPicPr>
        <xdr:cNvPr id="89" name="Picture 88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31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85725</xdr:rowOff>
    </xdr:to>
    <xdr:pic>
      <xdr:nvPicPr>
        <xdr:cNvPr id="90" name="Picture 89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4531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304800</xdr:colOff>
      <xdr:row>41</xdr:row>
      <xdr:rowOff>85725</xdr:rowOff>
    </xdr:to>
    <xdr:pic>
      <xdr:nvPicPr>
        <xdr:cNvPr id="91" name="Picture 90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531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85725</xdr:rowOff>
    </xdr:to>
    <xdr:pic>
      <xdr:nvPicPr>
        <xdr:cNvPr id="92" name="Picture 91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4839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42</xdr:row>
      <xdr:rowOff>0</xdr:rowOff>
    </xdr:from>
    <xdr:to>
      <xdr:col>9</xdr:col>
      <xdr:colOff>304800</xdr:colOff>
      <xdr:row>43</xdr:row>
      <xdr:rowOff>85725</xdr:rowOff>
    </xdr:to>
    <xdr:pic>
      <xdr:nvPicPr>
        <xdr:cNvPr id="93" name="Picture 92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4839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85725</xdr:rowOff>
    </xdr:to>
    <xdr:pic>
      <xdr:nvPicPr>
        <xdr:cNvPr id="94" name="Picture 93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505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304800</xdr:colOff>
      <xdr:row>45</xdr:row>
      <xdr:rowOff>85725</xdr:rowOff>
    </xdr:to>
    <xdr:pic>
      <xdr:nvPicPr>
        <xdr:cNvPr id="95" name="Picture 94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5059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85725</xdr:rowOff>
    </xdr:to>
    <xdr:pic>
      <xdr:nvPicPr>
        <xdr:cNvPr id="96" name="Picture 95" descr="http://sctestwebapps.stationcasinos.net/KioskMonitor/Content/images/icons/warning_32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0850" y="5367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46</xdr:row>
      <xdr:rowOff>0</xdr:rowOff>
    </xdr:from>
    <xdr:to>
      <xdr:col>9</xdr:col>
      <xdr:colOff>304800</xdr:colOff>
      <xdr:row>47</xdr:row>
      <xdr:rowOff>85725</xdr:rowOff>
    </xdr:to>
    <xdr:pic>
      <xdr:nvPicPr>
        <xdr:cNvPr id="97" name="Picture 96" descr="http://sctestwebapps.stationcasinos.net/KioskMonitor/Content/images/icons/bubble_32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5367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262"/>
  <sheetViews>
    <sheetView topLeftCell="D1" workbookViewId="0">
      <pane ySplit="1" topLeftCell="A2" activePane="bottomLeft" state="frozen"/>
      <selection pane="bottomLeft" activeCell="G3" sqref="G3"/>
    </sheetView>
  </sheetViews>
  <sheetFormatPr defaultRowHeight="15" x14ac:dyDescent="0.25"/>
  <cols>
    <col min="1" max="1" width="4.85546875" style="4" hidden="1" customWidth="1"/>
    <col min="2" max="2" width="3.85546875" style="4" hidden="1" customWidth="1"/>
    <col min="3" max="3" width="5.85546875" style="4" hidden="1" customWidth="1"/>
    <col min="4" max="4" width="11.28515625" style="11" customWidth="1"/>
    <col min="5" max="6" width="3" style="3" hidden="1" customWidth="1"/>
    <col min="7" max="7" width="32.28515625" style="8" customWidth="1"/>
    <col min="8" max="8" width="2.42578125" style="8" hidden="1" customWidth="1"/>
    <col min="9" max="9" width="3.85546875" style="8" hidden="1" customWidth="1"/>
    <col min="10" max="10" width="3" style="8" hidden="1" customWidth="1"/>
    <col min="11" max="11" width="10.5703125" style="10" customWidth="1"/>
    <col min="12" max="12" width="49.140625" style="4" bestFit="1" customWidth="1"/>
    <col min="13" max="14" width="9.85546875" style="4" customWidth="1"/>
    <col min="15" max="15" width="9.140625" style="3"/>
    <col min="16" max="21" width="9.140625" style="4"/>
    <col min="22" max="23" width="9.140625" style="6"/>
    <col min="24" max="16384" width="9.140625" style="4"/>
  </cols>
  <sheetData>
    <row r="1" spans="4:23" s="2" customFormat="1" ht="34.5" customHeight="1" x14ac:dyDescent="0.25">
      <c r="D1" s="11"/>
      <c r="E1" s="7"/>
      <c r="F1" s="7"/>
      <c r="G1" s="7"/>
      <c r="H1" s="7"/>
      <c r="I1" s="7"/>
      <c r="J1" s="7"/>
      <c r="K1" s="9" t="s">
        <v>16</v>
      </c>
      <c r="V1" s="5"/>
      <c r="W1" s="5"/>
    </row>
    <row r="2" spans="4:23" x14ac:dyDescent="0.25">
      <c r="D2" s="12"/>
      <c r="H2" s="4"/>
      <c r="I2" s="4"/>
      <c r="J2" s="4"/>
      <c r="L2" s="4" t="str">
        <f t="shared" ref="L2:L33" ca="1" si="0">IF(OFFSET(L2,0,-5)&gt;0,Q2," ")</f>
        <v xml:space="preserve"> </v>
      </c>
      <c r="M2" s="4" t="e">
        <f t="shared" ref="M2:M33" ca="1" si="1">VLOOKUP(O2,torange,2)</f>
        <v>#N/A</v>
      </c>
      <c r="N2" s="4" t="e">
        <f t="shared" ref="N2:N33" ca="1" si="2">VLOOKUP(O2,torange,3)</f>
        <v>#N/A</v>
      </c>
      <c r="O2" s="3" t="str">
        <f t="shared" ref="O2:O13" ca="1" si="3">LEFT(OFFSET(O2,0,-10),2)</f>
        <v/>
      </c>
      <c r="P2" s="4" t="e">
        <f t="shared" ref="P2:P33" ca="1" si="4">VLOOKUP(OFFSET(P2,0,-9),erange,2)</f>
        <v>#N/A</v>
      </c>
      <c r="Q2" s="4" t="e">
        <f t="shared" ref="Q2:Q33" ca="1" si="5">OFFSET(Q2,0,-12) &amp; P2 &amp; OFFSET(Q2,0,-6) &amp; "&lt;br&gt;"</f>
        <v>#N/A</v>
      </c>
      <c r="S2" s="8" t="s">
        <v>45</v>
      </c>
      <c r="T2" s="8" t="s">
        <v>18</v>
      </c>
    </row>
    <row r="3" spans="4:23" x14ac:dyDescent="0.25">
      <c r="D3" s="12"/>
      <c r="E3" s="4"/>
      <c r="F3" s="4"/>
      <c r="G3" s="4"/>
      <c r="H3" s="4"/>
      <c r="I3" s="4"/>
      <c r="J3" s="4"/>
      <c r="L3" s="4" t="str">
        <f t="shared" ca="1" si="0"/>
        <v xml:space="preserve"> </v>
      </c>
      <c r="M3" s="4" t="e">
        <f t="shared" ca="1" si="1"/>
        <v>#N/A</v>
      </c>
      <c r="N3" s="4" t="e">
        <f t="shared" ca="1" si="2"/>
        <v>#N/A</v>
      </c>
      <c r="O3" s="3" t="str">
        <f t="shared" ca="1" si="3"/>
        <v/>
      </c>
      <c r="P3" s="4" t="e">
        <f t="shared" ca="1" si="4"/>
        <v>#N/A</v>
      </c>
      <c r="Q3" s="4" t="e">
        <f t="shared" ca="1" si="5"/>
        <v>#N/A</v>
      </c>
      <c r="S3" s="8" t="s">
        <v>52</v>
      </c>
      <c r="T3" s="8" t="s">
        <v>20</v>
      </c>
    </row>
    <row r="4" spans="4:23" x14ac:dyDescent="0.25">
      <c r="D4" s="12"/>
      <c r="E4" s="10"/>
      <c r="F4" s="10"/>
      <c r="L4" s="4" t="str">
        <f t="shared" ca="1" si="0"/>
        <v xml:space="preserve"> </v>
      </c>
      <c r="M4" s="4" t="e">
        <f t="shared" ca="1" si="1"/>
        <v>#N/A</v>
      </c>
      <c r="N4" s="4" t="e">
        <f t="shared" ca="1" si="2"/>
        <v>#N/A</v>
      </c>
      <c r="O4" s="3" t="str">
        <f t="shared" ca="1" si="3"/>
        <v/>
      </c>
      <c r="P4" s="4" t="e">
        <f t="shared" ca="1" si="4"/>
        <v>#N/A</v>
      </c>
      <c r="Q4" s="4" t="e">
        <f t="shared" ca="1" si="5"/>
        <v>#N/A</v>
      </c>
      <c r="S4" s="8" t="s">
        <v>44</v>
      </c>
      <c r="T4" s="8" t="s">
        <v>19</v>
      </c>
    </row>
    <row r="5" spans="4:23" x14ac:dyDescent="0.25">
      <c r="D5" s="12"/>
      <c r="L5" s="4" t="str">
        <f t="shared" ca="1" si="0"/>
        <v xml:space="preserve"> </v>
      </c>
      <c r="M5" s="4" t="e">
        <f t="shared" ca="1" si="1"/>
        <v>#N/A</v>
      </c>
      <c r="N5" s="4" t="e">
        <f t="shared" ca="1" si="2"/>
        <v>#N/A</v>
      </c>
      <c r="O5" s="3" t="str">
        <f t="shared" ca="1" si="3"/>
        <v/>
      </c>
      <c r="P5" s="4" t="e">
        <f t="shared" ca="1" si="4"/>
        <v>#N/A</v>
      </c>
      <c r="Q5" s="4" t="e">
        <f t="shared" ca="1" si="5"/>
        <v>#N/A</v>
      </c>
      <c r="S5" s="8" t="s">
        <v>43</v>
      </c>
      <c r="T5" s="8" t="s">
        <v>18</v>
      </c>
    </row>
    <row r="6" spans="4:23" x14ac:dyDescent="0.25">
      <c r="D6" s="12"/>
      <c r="L6" s="4" t="str">
        <f t="shared" ca="1" si="0"/>
        <v xml:space="preserve"> </v>
      </c>
      <c r="M6" s="4" t="e">
        <f t="shared" ca="1" si="1"/>
        <v>#N/A</v>
      </c>
      <c r="N6" s="4" t="e">
        <f t="shared" ca="1" si="2"/>
        <v>#N/A</v>
      </c>
      <c r="O6" s="3" t="str">
        <f t="shared" ca="1" si="3"/>
        <v/>
      </c>
      <c r="P6" s="4" t="e">
        <f t="shared" ca="1" si="4"/>
        <v>#N/A</v>
      </c>
      <c r="Q6" s="4" t="e">
        <f t="shared" ca="1" si="5"/>
        <v>#N/A</v>
      </c>
      <c r="S6" s="8" t="s">
        <v>42</v>
      </c>
      <c r="T6" s="8" t="s">
        <v>17</v>
      </c>
    </row>
    <row r="7" spans="4:23" x14ac:dyDescent="0.25">
      <c r="D7" s="12"/>
      <c r="H7" s="4"/>
      <c r="I7" s="4"/>
      <c r="J7" s="4"/>
      <c r="L7" s="4" t="str">
        <f t="shared" ca="1" si="0"/>
        <v xml:space="preserve"> </v>
      </c>
      <c r="M7" s="4" t="e">
        <f t="shared" ca="1" si="1"/>
        <v>#N/A</v>
      </c>
      <c r="N7" s="4" t="e">
        <f t="shared" ca="1" si="2"/>
        <v>#N/A</v>
      </c>
      <c r="O7" s="3" t="str">
        <f t="shared" ca="1" si="3"/>
        <v/>
      </c>
      <c r="P7" s="4" t="e">
        <f t="shared" ca="1" si="4"/>
        <v>#N/A</v>
      </c>
      <c r="Q7" s="4" t="e">
        <f t="shared" ca="1" si="5"/>
        <v>#N/A</v>
      </c>
      <c r="S7" s="8" t="s">
        <v>41</v>
      </c>
      <c r="T7" s="8" t="s">
        <v>21</v>
      </c>
    </row>
    <row r="8" spans="4:23" x14ac:dyDescent="0.25">
      <c r="D8" s="12"/>
      <c r="H8" s="4"/>
      <c r="I8" s="4"/>
      <c r="J8" s="4"/>
      <c r="L8" s="4" t="str">
        <f t="shared" ca="1" si="0"/>
        <v xml:space="preserve"> </v>
      </c>
      <c r="M8" s="4" t="e">
        <f t="shared" ca="1" si="1"/>
        <v>#N/A</v>
      </c>
      <c r="N8" s="4" t="e">
        <f t="shared" ca="1" si="2"/>
        <v>#N/A</v>
      </c>
      <c r="O8" s="3" t="str">
        <f t="shared" ca="1" si="3"/>
        <v/>
      </c>
      <c r="P8" s="4" t="e">
        <f t="shared" ca="1" si="4"/>
        <v>#N/A</v>
      </c>
      <c r="Q8" s="4" t="e">
        <f t="shared" ca="1" si="5"/>
        <v>#N/A</v>
      </c>
    </row>
    <row r="9" spans="4:23" x14ac:dyDescent="0.25">
      <c r="D9" s="12"/>
      <c r="E9" s="4"/>
      <c r="F9" s="4"/>
      <c r="G9" s="4"/>
      <c r="L9" s="4" t="str">
        <f t="shared" ca="1" si="0"/>
        <v xml:space="preserve"> </v>
      </c>
      <c r="M9" s="4" t="e">
        <f t="shared" ca="1" si="1"/>
        <v>#N/A</v>
      </c>
      <c r="N9" s="4" t="e">
        <f t="shared" ca="1" si="2"/>
        <v>#N/A</v>
      </c>
      <c r="O9" s="3" t="str">
        <f t="shared" ca="1" si="3"/>
        <v/>
      </c>
      <c r="P9" s="4" t="e">
        <f t="shared" ca="1" si="4"/>
        <v>#N/A</v>
      </c>
      <c r="Q9" s="4" t="e">
        <f t="shared" ca="1" si="5"/>
        <v>#N/A</v>
      </c>
    </row>
    <row r="10" spans="4:23" x14ac:dyDescent="0.25">
      <c r="D10" s="12"/>
      <c r="L10" s="4" t="str">
        <f t="shared" ca="1" si="0"/>
        <v xml:space="preserve"> </v>
      </c>
      <c r="M10" s="4" t="e">
        <f t="shared" ca="1" si="1"/>
        <v>#N/A</v>
      </c>
      <c r="N10" s="4" t="e">
        <f t="shared" ca="1" si="2"/>
        <v>#N/A</v>
      </c>
      <c r="O10" s="3" t="str">
        <f t="shared" ca="1" si="3"/>
        <v/>
      </c>
      <c r="P10" s="4" t="e">
        <f t="shared" ca="1" si="4"/>
        <v>#N/A</v>
      </c>
      <c r="Q10" s="4" t="e">
        <f t="shared" ca="1" si="5"/>
        <v>#N/A</v>
      </c>
      <c r="S10" s="4" t="s">
        <v>3</v>
      </c>
      <c r="T10" s="4" t="s">
        <v>22</v>
      </c>
      <c r="U10" s="4" t="s">
        <v>25</v>
      </c>
    </row>
    <row r="11" spans="4:23" x14ac:dyDescent="0.25">
      <c r="D11" s="12"/>
      <c r="L11" s="4" t="str">
        <f t="shared" ca="1" si="0"/>
        <v xml:space="preserve"> </v>
      </c>
      <c r="M11" s="4" t="e">
        <f t="shared" ca="1" si="1"/>
        <v>#N/A</v>
      </c>
      <c r="N11" s="4" t="e">
        <f t="shared" ca="1" si="2"/>
        <v>#N/A</v>
      </c>
      <c r="O11" s="3" t="str">
        <f t="shared" ca="1" si="3"/>
        <v/>
      </c>
      <c r="P11" s="4" t="e">
        <f t="shared" ca="1" si="4"/>
        <v>#N/A</v>
      </c>
      <c r="Q11" s="4" t="e">
        <f t="shared" ca="1" si="5"/>
        <v>#N/A</v>
      </c>
      <c r="S11" s="4" t="s">
        <v>0</v>
      </c>
      <c r="T11" s="4" t="s">
        <v>23</v>
      </c>
      <c r="U11" s="4" t="s">
        <v>26</v>
      </c>
    </row>
    <row r="12" spans="4:23" x14ac:dyDescent="0.25">
      <c r="D12" s="12"/>
      <c r="E12" s="4"/>
      <c r="F12" s="4"/>
      <c r="G12" s="4"/>
      <c r="H12" s="4"/>
      <c r="I12" s="4"/>
      <c r="J12" s="4"/>
      <c r="L12" s="4" t="str">
        <f t="shared" ca="1" si="0"/>
        <v xml:space="preserve"> </v>
      </c>
      <c r="M12" s="4" t="e">
        <f t="shared" ca="1" si="1"/>
        <v>#N/A</v>
      </c>
      <c r="N12" s="4" t="e">
        <f t="shared" ca="1" si="2"/>
        <v>#N/A</v>
      </c>
      <c r="O12" s="3" t="str">
        <f t="shared" ca="1" si="3"/>
        <v/>
      </c>
      <c r="P12" s="4" t="e">
        <f t="shared" ca="1" si="4"/>
        <v>#N/A</v>
      </c>
      <c r="Q12" s="4" t="e">
        <f t="shared" ca="1" si="5"/>
        <v>#N/A</v>
      </c>
      <c r="S12" s="4" t="s">
        <v>39</v>
      </c>
      <c r="T12" s="4" t="s">
        <v>23</v>
      </c>
      <c r="U12" s="4" t="s">
        <v>33</v>
      </c>
    </row>
    <row r="13" spans="4:23" x14ac:dyDescent="0.25">
      <c r="D13" s="12"/>
      <c r="L13" s="4" t="str">
        <f t="shared" ca="1" si="0"/>
        <v xml:space="preserve"> </v>
      </c>
      <c r="M13" s="4" t="e">
        <f t="shared" ca="1" si="1"/>
        <v>#N/A</v>
      </c>
      <c r="N13" s="4" t="e">
        <f t="shared" ca="1" si="2"/>
        <v>#N/A</v>
      </c>
      <c r="O13" s="3" t="str">
        <f t="shared" ca="1" si="3"/>
        <v/>
      </c>
      <c r="P13" s="4" t="e">
        <f t="shared" ca="1" si="4"/>
        <v>#N/A</v>
      </c>
      <c r="Q13" s="4" t="e">
        <f t="shared" ca="1" si="5"/>
        <v>#N/A</v>
      </c>
      <c r="S13" s="4" t="s">
        <v>5</v>
      </c>
      <c r="T13" s="4" t="s">
        <v>24</v>
      </c>
      <c r="U13" s="4" t="s">
        <v>27</v>
      </c>
    </row>
    <row r="14" spans="4:23" x14ac:dyDescent="0.25">
      <c r="D14" s="12"/>
      <c r="E14" s="10"/>
      <c r="F14" s="10"/>
      <c r="L14" s="4" t="str">
        <f t="shared" ca="1" si="0"/>
        <v xml:space="preserve"> </v>
      </c>
      <c r="M14" s="4" t="e">
        <f t="shared" ca="1" si="1"/>
        <v>#N/A</v>
      </c>
      <c r="N14" s="4" t="e">
        <f t="shared" ca="1" si="2"/>
        <v>#N/A</v>
      </c>
      <c r="O14" s="3" t="str">
        <f t="shared" ref="O14:O33" ca="1" si="6">LEFT(OFFSET(O14,0,-10),2)</f>
        <v/>
      </c>
      <c r="P14" s="4" t="e">
        <f t="shared" ca="1" si="4"/>
        <v>#N/A</v>
      </c>
      <c r="Q14" s="4" t="e">
        <f t="shared" ca="1" si="5"/>
        <v>#N/A</v>
      </c>
      <c r="S14" s="4" t="s">
        <v>7</v>
      </c>
      <c r="T14" s="4" t="s">
        <v>23</v>
      </c>
      <c r="U14" s="4" t="s">
        <v>28</v>
      </c>
    </row>
    <row r="15" spans="4:23" x14ac:dyDescent="0.25">
      <c r="D15" s="12"/>
      <c r="E15" s="4"/>
      <c r="F15" s="4"/>
      <c r="G15" s="4"/>
      <c r="H15" s="4"/>
      <c r="I15" s="4"/>
      <c r="J15" s="4"/>
      <c r="L15" s="4" t="str">
        <f t="shared" ca="1" si="0"/>
        <v xml:space="preserve"> </v>
      </c>
      <c r="M15" s="4" t="e">
        <f t="shared" ca="1" si="1"/>
        <v>#N/A</v>
      </c>
      <c r="N15" s="4" t="e">
        <f t="shared" ca="1" si="2"/>
        <v>#N/A</v>
      </c>
      <c r="O15" s="3" t="str">
        <f t="shared" ca="1" si="6"/>
        <v/>
      </c>
      <c r="P15" s="4" t="e">
        <f t="shared" ca="1" si="4"/>
        <v>#N/A</v>
      </c>
      <c r="Q15" s="4" t="e">
        <f t="shared" ca="1" si="5"/>
        <v>#N/A</v>
      </c>
      <c r="S15" s="4" t="s">
        <v>6</v>
      </c>
      <c r="T15" s="4" t="s">
        <v>22</v>
      </c>
      <c r="U15" s="4" t="s">
        <v>29</v>
      </c>
    </row>
    <row r="16" spans="4:23" x14ac:dyDescent="0.25">
      <c r="D16" s="12"/>
      <c r="E16" s="4"/>
      <c r="F16" s="4"/>
      <c r="G16" s="4"/>
      <c r="H16" s="4"/>
      <c r="I16" s="4"/>
      <c r="J16" s="4"/>
      <c r="L16" s="4" t="str">
        <f t="shared" ca="1" si="0"/>
        <v xml:space="preserve"> </v>
      </c>
      <c r="M16" s="4" t="e">
        <f t="shared" ca="1" si="1"/>
        <v>#N/A</v>
      </c>
      <c r="N16" s="4" t="e">
        <f t="shared" ca="1" si="2"/>
        <v>#N/A</v>
      </c>
      <c r="O16" s="3" t="str">
        <f t="shared" ca="1" si="6"/>
        <v/>
      </c>
      <c r="P16" s="4" t="e">
        <f t="shared" ca="1" si="4"/>
        <v>#N/A</v>
      </c>
      <c r="Q16" s="4" t="e">
        <f t="shared" ca="1" si="5"/>
        <v>#N/A</v>
      </c>
      <c r="S16" s="4" t="s">
        <v>8</v>
      </c>
      <c r="T16" s="4" t="s">
        <v>23</v>
      </c>
      <c r="U16" s="4" t="s">
        <v>30</v>
      </c>
    </row>
    <row r="17" spans="4:21" x14ac:dyDescent="0.25">
      <c r="D17" s="12"/>
      <c r="H17" s="4"/>
      <c r="I17" s="4"/>
      <c r="J17" s="4"/>
      <c r="L17" s="4" t="str">
        <f t="shared" ca="1" si="0"/>
        <v xml:space="preserve"> </v>
      </c>
      <c r="M17" s="4" t="e">
        <f t="shared" ca="1" si="1"/>
        <v>#N/A</v>
      </c>
      <c r="N17" s="4" t="e">
        <f t="shared" ca="1" si="2"/>
        <v>#N/A</v>
      </c>
      <c r="O17" s="3" t="str">
        <f t="shared" ca="1" si="6"/>
        <v/>
      </c>
      <c r="P17" s="4" t="e">
        <f t="shared" ca="1" si="4"/>
        <v>#N/A</v>
      </c>
      <c r="Q17" s="4" t="e">
        <f t="shared" ca="1" si="5"/>
        <v>#N/A</v>
      </c>
      <c r="S17" s="4" t="s">
        <v>9</v>
      </c>
      <c r="T17" s="4" t="s">
        <v>24</v>
      </c>
      <c r="U17" s="4" t="s">
        <v>31</v>
      </c>
    </row>
    <row r="18" spans="4:21" x14ac:dyDescent="0.25">
      <c r="D18" s="12"/>
      <c r="L18" s="4" t="str">
        <f t="shared" ca="1" si="0"/>
        <v xml:space="preserve"> </v>
      </c>
      <c r="M18" s="4" t="e">
        <f t="shared" ca="1" si="1"/>
        <v>#N/A</v>
      </c>
      <c r="N18" s="4" t="e">
        <f t="shared" ca="1" si="2"/>
        <v>#N/A</v>
      </c>
      <c r="O18" s="3" t="str">
        <f t="shared" ca="1" si="6"/>
        <v/>
      </c>
      <c r="P18" s="4" t="e">
        <f t="shared" ca="1" si="4"/>
        <v>#N/A</v>
      </c>
      <c r="Q18" s="4" t="e">
        <f t="shared" ca="1" si="5"/>
        <v>#N/A</v>
      </c>
      <c r="S18" s="4" t="s">
        <v>4</v>
      </c>
      <c r="T18" s="4" t="s">
        <v>22</v>
      </c>
      <c r="U18" s="4" t="s">
        <v>33</v>
      </c>
    </row>
    <row r="19" spans="4:21" x14ac:dyDescent="0.25">
      <c r="D19" s="12"/>
      <c r="L19" s="4" t="str">
        <f t="shared" ca="1" si="0"/>
        <v xml:space="preserve"> </v>
      </c>
      <c r="M19" s="4" t="e">
        <f t="shared" ca="1" si="1"/>
        <v>#N/A</v>
      </c>
      <c r="N19" s="4" t="e">
        <f t="shared" ca="1" si="2"/>
        <v>#N/A</v>
      </c>
      <c r="O19" s="3" t="str">
        <f t="shared" ca="1" si="6"/>
        <v/>
      </c>
      <c r="P19" s="4" t="e">
        <f t="shared" ca="1" si="4"/>
        <v>#N/A</v>
      </c>
      <c r="Q19" s="4" t="e">
        <f t="shared" ca="1" si="5"/>
        <v>#N/A</v>
      </c>
      <c r="S19" s="4" t="s">
        <v>14</v>
      </c>
      <c r="T19" s="4" t="s">
        <v>22</v>
      </c>
      <c r="U19" s="4" t="s">
        <v>32</v>
      </c>
    </row>
    <row r="20" spans="4:21" x14ac:dyDescent="0.25">
      <c r="D20" s="12"/>
      <c r="E20" s="10"/>
      <c r="F20" s="10"/>
      <c r="L20" s="4" t="str">
        <f t="shared" ca="1" si="0"/>
        <v xml:space="preserve"> </v>
      </c>
      <c r="M20" s="4" t="e">
        <f t="shared" ca="1" si="1"/>
        <v>#N/A</v>
      </c>
      <c r="N20" s="4" t="e">
        <f t="shared" ca="1" si="2"/>
        <v>#N/A</v>
      </c>
      <c r="O20" s="3" t="str">
        <f t="shared" ca="1" si="6"/>
        <v/>
      </c>
      <c r="P20" s="4" t="e">
        <f t="shared" ca="1" si="4"/>
        <v>#N/A</v>
      </c>
      <c r="Q20" s="4" t="e">
        <f t="shared" ca="1" si="5"/>
        <v>#N/A</v>
      </c>
      <c r="S20" s="4" t="s">
        <v>10</v>
      </c>
      <c r="T20" s="4" t="s">
        <v>22</v>
      </c>
      <c r="U20" s="4" t="s">
        <v>34</v>
      </c>
    </row>
    <row r="21" spans="4:21" x14ac:dyDescent="0.25">
      <c r="D21" s="12"/>
      <c r="L21" s="4" t="str">
        <f t="shared" ca="1" si="0"/>
        <v xml:space="preserve"> </v>
      </c>
      <c r="M21" s="4" t="e">
        <f t="shared" ca="1" si="1"/>
        <v>#N/A</v>
      </c>
      <c r="N21" s="4" t="e">
        <f t="shared" ca="1" si="2"/>
        <v>#N/A</v>
      </c>
      <c r="O21" s="3" t="str">
        <f t="shared" ca="1" si="6"/>
        <v/>
      </c>
      <c r="P21" s="4" t="e">
        <f t="shared" ca="1" si="4"/>
        <v>#N/A</v>
      </c>
      <c r="Q21" s="4" t="e">
        <f t="shared" ca="1" si="5"/>
        <v>#N/A</v>
      </c>
      <c r="S21" s="4" t="s">
        <v>1</v>
      </c>
      <c r="T21" s="4" t="s">
        <v>24</v>
      </c>
      <c r="U21" s="4" t="s">
        <v>35</v>
      </c>
    </row>
    <row r="22" spans="4:21" x14ac:dyDescent="0.25">
      <c r="D22" s="12"/>
      <c r="E22" s="4"/>
      <c r="F22" s="4"/>
      <c r="G22" s="4"/>
      <c r="H22" s="4"/>
      <c r="I22" s="4"/>
      <c r="J22" s="4"/>
      <c r="L22" s="4" t="str">
        <f t="shared" ca="1" si="0"/>
        <v xml:space="preserve"> </v>
      </c>
      <c r="M22" s="4" t="e">
        <f t="shared" ca="1" si="1"/>
        <v>#N/A</v>
      </c>
      <c r="N22" s="4" t="e">
        <f t="shared" ca="1" si="2"/>
        <v>#N/A</v>
      </c>
      <c r="O22" s="3" t="str">
        <f t="shared" ca="1" si="6"/>
        <v/>
      </c>
      <c r="P22" s="4" t="e">
        <f t="shared" ca="1" si="4"/>
        <v>#N/A</v>
      </c>
      <c r="Q22" s="4" t="e">
        <f t="shared" ca="1" si="5"/>
        <v>#N/A</v>
      </c>
      <c r="S22" s="4" t="s">
        <v>11</v>
      </c>
      <c r="T22" s="4" t="s">
        <v>23</v>
      </c>
      <c r="U22" s="4" t="s">
        <v>36</v>
      </c>
    </row>
    <row r="23" spans="4:21" x14ac:dyDescent="0.25">
      <c r="D23" s="12"/>
      <c r="L23" s="4" t="str">
        <f t="shared" ca="1" si="0"/>
        <v xml:space="preserve"> </v>
      </c>
      <c r="M23" s="4" t="e">
        <f t="shared" ca="1" si="1"/>
        <v>#N/A</v>
      </c>
      <c r="N23" s="4" t="e">
        <f t="shared" ca="1" si="2"/>
        <v>#N/A</v>
      </c>
      <c r="O23" s="3" t="str">
        <f t="shared" ca="1" si="6"/>
        <v/>
      </c>
      <c r="P23" s="4" t="e">
        <f t="shared" ca="1" si="4"/>
        <v>#N/A</v>
      </c>
      <c r="Q23" s="4" t="e">
        <f t="shared" ca="1" si="5"/>
        <v>#N/A</v>
      </c>
      <c r="S23" s="4" t="s">
        <v>2</v>
      </c>
      <c r="T23" s="4" t="s">
        <v>24</v>
      </c>
      <c r="U23" s="4" t="s">
        <v>51</v>
      </c>
    </row>
    <row r="24" spans="4:21" x14ac:dyDescent="0.25">
      <c r="D24" s="12"/>
      <c r="E24" s="4"/>
      <c r="F24" s="4"/>
      <c r="G24" s="4"/>
      <c r="H24" s="4"/>
      <c r="I24" s="4"/>
      <c r="J24" s="4"/>
      <c r="L24" s="4" t="str">
        <f t="shared" ca="1" si="0"/>
        <v xml:space="preserve"> </v>
      </c>
      <c r="M24" s="4" t="e">
        <f t="shared" ca="1" si="1"/>
        <v>#N/A</v>
      </c>
      <c r="N24" s="4" t="e">
        <f t="shared" ca="1" si="2"/>
        <v>#N/A</v>
      </c>
      <c r="O24" s="3" t="str">
        <f t="shared" ca="1" si="6"/>
        <v/>
      </c>
      <c r="P24" s="4" t="e">
        <f t="shared" ca="1" si="4"/>
        <v>#N/A</v>
      </c>
      <c r="Q24" s="4" t="e">
        <f t="shared" ca="1" si="5"/>
        <v>#N/A</v>
      </c>
      <c r="S24" s="4" t="s">
        <v>15</v>
      </c>
      <c r="T24" s="4" t="s">
        <v>24</v>
      </c>
      <c r="U24" s="4" t="s">
        <v>37</v>
      </c>
    </row>
    <row r="25" spans="4:21" x14ac:dyDescent="0.25">
      <c r="D25" s="12"/>
      <c r="E25" s="10"/>
      <c r="F25" s="10"/>
      <c r="L25" s="4" t="str">
        <f t="shared" ca="1" si="0"/>
        <v xml:space="preserve"> </v>
      </c>
      <c r="M25" s="4" t="e">
        <f t="shared" ca="1" si="1"/>
        <v>#N/A</v>
      </c>
      <c r="N25" s="4" t="e">
        <f t="shared" ca="1" si="2"/>
        <v>#N/A</v>
      </c>
      <c r="O25" s="3" t="str">
        <f t="shared" ca="1" si="6"/>
        <v/>
      </c>
      <c r="P25" s="4" t="e">
        <f t="shared" ca="1" si="4"/>
        <v>#N/A</v>
      </c>
      <c r="Q25" s="4" t="e">
        <f t="shared" ca="1" si="5"/>
        <v>#N/A</v>
      </c>
      <c r="S25" s="4" t="s">
        <v>13</v>
      </c>
      <c r="T25" s="4" t="s">
        <v>22</v>
      </c>
      <c r="U25" s="4" t="s">
        <v>38</v>
      </c>
    </row>
    <row r="26" spans="4:21" x14ac:dyDescent="0.25">
      <c r="D26" s="12"/>
      <c r="L26" s="4" t="str">
        <f t="shared" ca="1" si="0"/>
        <v xml:space="preserve"> </v>
      </c>
      <c r="M26" s="4" t="e">
        <f t="shared" ca="1" si="1"/>
        <v>#N/A</v>
      </c>
      <c r="N26" s="4" t="e">
        <f t="shared" ca="1" si="2"/>
        <v>#N/A</v>
      </c>
      <c r="O26" s="3" t="str">
        <f t="shared" ca="1" si="6"/>
        <v/>
      </c>
      <c r="P26" s="4" t="e">
        <f t="shared" ca="1" si="4"/>
        <v>#N/A</v>
      </c>
      <c r="Q26" s="4" t="e">
        <f t="shared" ca="1" si="5"/>
        <v>#N/A</v>
      </c>
      <c r="S26" s="4" t="s">
        <v>40</v>
      </c>
      <c r="T26" s="4" t="s">
        <v>40</v>
      </c>
      <c r="U26" s="4" t="s">
        <v>40</v>
      </c>
    </row>
    <row r="27" spans="4:21" x14ac:dyDescent="0.25">
      <c r="D27" s="12"/>
      <c r="E27" s="10"/>
      <c r="F27" s="10"/>
      <c r="L27" s="4" t="str">
        <f t="shared" ca="1" si="0"/>
        <v xml:space="preserve"> </v>
      </c>
      <c r="M27" s="4" t="e">
        <f t="shared" ca="1" si="1"/>
        <v>#N/A</v>
      </c>
      <c r="N27" s="4" t="e">
        <f t="shared" ca="1" si="2"/>
        <v>#N/A</v>
      </c>
      <c r="O27" s="3" t="str">
        <f t="shared" ca="1" si="6"/>
        <v/>
      </c>
      <c r="P27" s="4" t="e">
        <f t="shared" ca="1" si="4"/>
        <v>#N/A</v>
      </c>
      <c r="Q27" s="4" t="e">
        <f t="shared" ca="1" si="5"/>
        <v>#N/A</v>
      </c>
    </row>
    <row r="28" spans="4:21" x14ac:dyDescent="0.25">
      <c r="D28" s="12"/>
      <c r="L28" s="4" t="str">
        <f t="shared" ca="1" si="0"/>
        <v xml:space="preserve"> </v>
      </c>
      <c r="M28" s="4" t="e">
        <f t="shared" ca="1" si="1"/>
        <v>#N/A</v>
      </c>
      <c r="N28" s="4" t="e">
        <f t="shared" ca="1" si="2"/>
        <v>#N/A</v>
      </c>
      <c r="O28" s="3" t="str">
        <f t="shared" ca="1" si="6"/>
        <v/>
      </c>
      <c r="P28" s="4" t="e">
        <f t="shared" ca="1" si="4"/>
        <v>#N/A</v>
      </c>
      <c r="Q28" s="4" t="e">
        <f t="shared" ca="1" si="5"/>
        <v>#N/A</v>
      </c>
    </row>
    <row r="29" spans="4:21" x14ac:dyDescent="0.25">
      <c r="D29" s="1"/>
      <c r="L29" s="4" t="str">
        <f t="shared" ca="1" si="0"/>
        <v xml:space="preserve"> </v>
      </c>
      <c r="M29" s="4" t="e">
        <f t="shared" ca="1" si="1"/>
        <v>#N/A</v>
      </c>
      <c r="N29" s="4" t="e">
        <f t="shared" ca="1" si="2"/>
        <v>#N/A</v>
      </c>
      <c r="O29" s="3" t="str">
        <f t="shared" ca="1" si="6"/>
        <v/>
      </c>
      <c r="P29" s="4" t="e">
        <f t="shared" ca="1" si="4"/>
        <v>#N/A</v>
      </c>
      <c r="Q29" s="4" t="e">
        <f t="shared" ca="1" si="5"/>
        <v>#N/A</v>
      </c>
    </row>
    <row r="30" spans="4:21" x14ac:dyDescent="0.25">
      <c r="D30" s="1"/>
      <c r="E30" s="10"/>
      <c r="F30" s="10"/>
      <c r="L30" s="4" t="str">
        <f t="shared" ca="1" si="0"/>
        <v xml:space="preserve"> </v>
      </c>
      <c r="M30" s="4" t="e">
        <f t="shared" ca="1" si="1"/>
        <v>#N/A</v>
      </c>
      <c r="N30" s="4" t="e">
        <f t="shared" ca="1" si="2"/>
        <v>#N/A</v>
      </c>
      <c r="O30" s="3" t="str">
        <f t="shared" ca="1" si="6"/>
        <v/>
      </c>
      <c r="P30" s="4" t="e">
        <f t="shared" ca="1" si="4"/>
        <v>#N/A</v>
      </c>
      <c r="Q30" s="4" t="e">
        <f t="shared" ca="1" si="5"/>
        <v>#N/A</v>
      </c>
    </row>
    <row r="31" spans="4:21" x14ac:dyDescent="0.25">
      <c r="D31" s="1"/>
      <c r="L31" s="4" t="str">
        <f t="shared" ca="1" si="0"/>
        <v xml:space="preserve"> </v>
      </c>
      <c r="M31" s="4" t="e">
        <f t="shared" ca="1" si="1"/>
        <v>#N/A</v>
      </c>
      <c r="N31" s="4" t="e">
        <f t="shared" ca="1" si="2"/>
        <v>#N/A</v>
      </c>
      <c r="O31" s="3" t="str">
        <f t="shared" ca="1" si="6"/>
        <v/>
      </c>
      <c r="P31" s="4" t="e">
        <f t="shared" ca="1" si="4"/>
        <v>#N/A</v>
      </c>
      <c r="Q31" s="4" t="e">
        <f t="shared" ca="1" si="5"/>
        <v>#N/A</v>
      </c>
    </row>
    <row r="32" spans="4:21" x14ac:dyDescent="0.25">
      <c r="D32" s="1"/>
      <c r="E32" s="10"/>
      <c r="F32" s="10"/>
      <c r="L32" s="4" t="str">
        <f t="shared" ca="1" si="0"/>
        <v xml:space="preserve"> </v>
      </c>
      <c r="M32" s="4" t="e">
        <f t="shared" ca="1" si="1"/>
        <v>#N/A</v>
      </c>
      <c r="N32" s="4" t="e">
        <f t="shared" ca="1" si="2"/>
        <v>#N/A</v>
      </c>
      <c r="O32" s="3" t="str">
        <f t="shared" ca="1" si="6"/>
        <v/>
      </c>
      <c r="P32" s="4" t="e">
        <f t="shared" ca="1" si="4"/>
        <v>#N/A</v>
      </c>
      <c r="Q32" s="4" t="e">
        <f t="shared" ca="1" si="5"/>
        <v>#N/A</v>
      </c>
    </row>
    <row r="33" spans="4:17" x14ac:dyDescent="0.25">
      <c r="D33" s="1"/>
      <c r="L33" s="4" t="str">
        <f t="shared" ca="1" si="0"/>
        <v xml:space="preserve"> </v>
      </c>
      <c r="M33" s="4" t="e">
        <f t="shared" ca="1" si="1"/>
        <v>#N/A</v>
      </c>
      <c r="N33" s="4" t="e">
        <f t="shared" ca="1" si="2"/>
        <v>#N/A</v>
      </c>
      <c r="O33" s="3" t="str">
        <f t="shared" ca="1" si="6"/>
        <v/>
      </c>
      <c r="P33" s="4" t="e">
        <f t="shared" ca="1" si="4"/>
        <v>#N/A</v>
      </c>
      <c r="Q33" s="4" t="e">
        <f t="shared" ca="1" si="5"/>
        <v>#N/A</v>
      </c>
    </row>
    <row r="34" spans="4:17" x14ac:dyDescent="0.25">
      <c r="D34" s="1"/>
      <c r="L34" s="4" t="str">
        <f t="shared" ref="L34:L59" ca="1" si="7">IF(OFFSET(L34,0,-5)&gt;0,Q34," ")</f>
        <v xml:space="preserve"> </v>
      </c>
      <c r="M34" s="4" t="e">
        <f t="shared" ref="M34:M50" ca="1" si="8">VLOOKUP(O34,torange,2)</f>
        <v>#N/A</v>
      </c>
      <c r="N34" s="4" t="e">
        <f t="shared" ref="N34:N50" ca="1" si="9">VLOOKUP(O34,torange,3)</f>
        <v>#N/A</v>
      </c>
      <c r="O34" s="3" t="str">
        <f t="shared" ref="O34:O60" ca="1" si="10">LEFT(OFFSET(O34,0,-10),2)</f>
        <v/>
      </c>
      <c r="P34" s="4" t="e">
        <f t="shared" ref="P34:P60" ca="1" si="11">VLOOKUP(OFFSET(P34,0,-9),erange,2)</f>
        <v>#N/A</v>
      </c>
      <c r="Q34" s="4" t="e">
        <f t="shared" ref="Q34:Q60" ca="1" si="12">OFFSET(Q34,0,-12) &amp; P34 &amp; OFFSET(Q34,0,-6) &amp; "&lt;br&gt;"</f>
        <v>#N/A</v>
      </c>
    </row>
    <row r="35" spans="4:17" x14ac:dyDescent="0.25">
      <c r="D35" s="1"/>
      <c r="L35" s="4" t="str">
        <f t="shared" ca="1" si="7"/>
        <v xml:space="preserve"> </v>
      </c>
      <c r="M35" s="4" t="e">
        <f t="shared" ca="1" si="8"/>
        <v>#N/A</v>
      </c>
      <c r="N35" s="4" t="e">
        <f t="shared" ca="1" si="9"/>
        <v>#N/A</v>
      </c>
      <c r="O35" s="3" t="str">
        <f t="shared" ca="1" si="10"/>
        <v/>
      </c>
      <c r="P35" s="4" t="e">
        <f t="shared" ca="1" si="11"/>
        <v>#N/A</v>
      </c>
      <c r="Q35" s="4" t="e">
        <f t="shared" ca="1" si="12"/>
        <v>#N/A</v>
      </c>
    </row>
    <row r="36" spans="4:17" x14ac:dyDescent="0.25">
      <c r="D36" s="1"/>
      <c r="L36" s="4" t="str">
        <f t="shared" ca="1" si="7"/>
        <v xml:space="preserve"> </v>
      </c>
      <c r="M36" s="4" t="e">
        <f t="shared" ca="1" si="8"/>
        <v>#N/A</v>
      </c>
      <c r="N36" s="4" t="e">
        <f t="shared" ca="1" si="9"/>
        <v>#N/A</v>
      </c>
      <c r="O36" s="3" t="str">
        <f t="shared" ca="1" si="10"/>
        <v/>
      </c>
      <c r="P36" s="4" t="e">
        <f t="shared" ca="1" si="11"/>
        <v>#N/A</v>
      </c>
      <c r="Q36" s="4" t="e">
        <f t="shared" ca="1" si="12"/>
        <v>#N/A</v>
      </c>
    </row>
    <row r="37" spans="4:17" x14ac:dyDescent="0.25">
      <c r="D37" s="1"/>
      <c r="E37" s="10"/>
      <c r="F37" s="10"/>
      <c r="L37" s="4" t="str">
        <f t="shared" ca="1" si="7"/>
        <v xml:space="preserve"> </v>
      </c>
      <c r="M37" s="4" t="e">
        <f t="shared" ca="1" si="8"/>
        <v>#N/A</v>
      </c>
      <c r="N37" s="4" t="e">
        <f t="shared" ca="1" si="9"/>
        <v>#N/A</v>
      </c>
      <c r="O37" s="3" t="str">
        <f t="shared" ca="1" si="10"/>
        <v/>
      </c>
      <c r="P37" s="4" t="e">
        <f t="shared" ca="1" si="11"/>
        <v>#N/A</v>
      </c>
      <c r="Q37" s="4" t="e">
        <f t="shared" ca="1" si="12"/>
        <v>#N/A</v>
      </c>
    </row>
    <row r="38" spans="4:17" x14ac:dyDescent="0.25">
      <c r="D38" s="1"/>
      <c r="L38" s="4" t="str">
        <f t="shared" ca="1" si="7"/>
        <v xml:space="preserve"> </v>
      </c>
      <c r="M38" s="4" t="e">
        <f t="shared" ca="1" si="8"/>
        <v>#N/A</v>
      </c>
      <c r="N38" s="4" t="e">
        <f t="shared" ca="1" si="9"/>
        <v>#N/A</v>
      </c>
      <c r="O38" s="3" t="str">
        <f t="shared" ca="1" si="10"/>
        <v/>
      </c>
      <c r="P38" s="4" t="e">
        <f t="shared" ca="1" si="11"/>
        <v>#N/A</v>
      </c>
      <c r="Q38" s="4" t="e">
        <f t="shared" ca="1" si="12"/>
        <v>#N/A</v>
      </c>
    </row>
    <row r="39" spans="4:17" x14ac:dyDescent="0.25">
      <c r="D39" s="1"/>
      <c r="L39" s="4" t="str">
        <f t="shared" ca="1" si="7"/>
        <v xml:space="preserve"> </v>
      </c>
      <c r="M39" s="4" t="e">
        <f t="shared" ca="1" si="8"/>
        <v>#N/A</v>
      </c>
      <c r="N39" s="4" t="e">
        <f t="shared" ca="1" si="9"/>
        <v>#N/A</v>
      </c>
      <c r="O39" s="3" t="str">
        <f t="shared" ca="1" si="10"/>
        <v/>
      </c>
      <c r="P39" s="4" t="e">
        <f t="shared" ca="1" si="11"/>
        <v>#N/A</v>
      </c>
      <c r="Q39" s="4" t="e">
        <f t="shared" ca="1" si="12"/>
        <v>#N/A</v>
      </c>
    </row>
    <row r="40" spans="4:17" x14ac:dyDescent="0.25">
      <c r="D40" s="1"/>
      <c r="L40" s="4" t="str">
        <f t="shared" ca="1" si="7"/>
        <v xml:space="preserve"> </v>
      </c>
      <c r="M40" s="4" t="e">
        <f t="shared" ca="1" si="8"/>
        <v>#N/A</v>
      </c>
      <c r="N40" s="4" t="e">
        <f t="shared" ca="1" si="9"/>
        <v>#N/A</v>
      </c>
      <c r="O40" s="3" t="str">
        <f t="shared" ca="1" si="10"/>
        <v/>
      </c>
      <c r="P40" s="4" t="e">
        <f t="shared" ca="1" si="11"/>
        <v>#N/A</v>
      </c>
      <c r="Q40" s="4" t="e">
        <f t="shared" ca="1" si="12"/>
        <v>#N/A</v>
      </c>
    </row>
    <row r="41" spans="4:17" x14ac:dyDescent="0.25">
      <c r="D41" s="1"/>
      <c r="E41" s="10"/>
      <c r="F41" s="10"/>
      <c r="L41" s="4" t="str">
        <f t="shared" ca="1" si="7"/>
        <v xml:space="preserve"> </v>
      </c>
      <c r="M41" s="4" t="e">
        <f t="shared" ca="1" si="8"/>
        <v>#N/A</v>
      </c>
      <c r="N41" s="4" t="e">
        <f t="shared" ca="1" si="9"/>
        <v>#N/A</v>
      </c>
      <c r="O41" s="3" t="str">
        <f t="shared" ca="1" si="10"/>
        <v/>
      </c>
      <c r="P41" s="4" t="e">
        <f t="shared" ca="1" si="11"/>
        <v>#N/A</v>
      </c>
      <c r="Q41" s="4" t="e">
        <f t="shared" ca="1" si="12"/>
        <v>#N/A</v>
      </c>
    </row>
    <row r="42" spans="4:17" x14ac:dyDescent="0.25">
      <c r="D42" s="1"/>
      <c r="L42" s="4" t="str">
        <f t="shared" ca="1" si="7"/>
        <v xml:space="preserve"> </v>
      </c>
      <c r="M42" s="4" t="e">
        <f t="shared" ca="1" si="8"/>
        <v>#N/A</v>
      </c>
      <c r="N42" s="4" t="e">
        <f t="shared" ca="1" si="9"/>
        <v>#N/A</v>
      </c>
      <c r="O42" s="3" t="str">
        <f t="shared" ca="1" si="10"/>
        <v/>
      </c>
      <c r="P42" s="4" t="e">
        <f t="shared" ca="1" si="11"/>
        <v>#N/A</v>
      </c>
      <c r="Q42" s="4" t="e">
        <f t="shared" ca="1" si="12"/>
        <v>#N/A</v>
      </c>
    </row>
    <row r="43" spans="4:17" x14ac:dyDescent="0.25">
      <c r="D43" s="1"/>
      <c r="E43" s="10"/>
      <c r="F43" s="10"/>
      <c r="L43" s="4" t="str">
        <f t="shared" ca="1" si="7"/>
        <v xml:space="preserve"> </v>
      </c>
      <c r="M43" s="4" t="e">
        <f t="shared" ca="1" si="8"/>
        <v>#N/A</v>
      </c>
      <c r="N43" s="4" t="e">
        <f t="shared" ca="1" si="9"/>
        <v>#N/A</v>
      </c>
      <c r="O43" s="3" t="str">
        <f t="shared" ca="1" si="10"/>
        <v/>
      </c>
      <c r="P43" s="4" t="e">
        <f t="shared" ca="1" si="11"/>
        <v>#N/A</v>
      </c>
      <c r="Q43" s="4" t="e">
        <f t="shared" ca="1" si="12"/>
        <v>#N/A</v>
      </c>
    </row>
    <row r="44" spans="4:17" x14ac:dyDescent="0.25">
      <c r="D44" s="1"/>
      <c r="E44" s="10"/>
      <c r="F44" s="10"/>
      <c r="L44" s="4" t="str">
        <f t="shared" ca="1" si="7"/>
        <v xml:space="preserve"> </v>
      </c>
      <c r="M44" s="4" t="e">
        <f t="shared" ca="1" si="8"/>
        <v>#N/A</v>
      </c>
      <c r="N44" s="4" t="e">
        <f t="shared" ca="1" si="9"/>
        <v>#N/A</v>
      </c>
      <c r="O44" s="3" t="str">
        <f t="shared" ca="1" si="10"/>
        <v/>
      </c>
      <c r="P44" s="4" t="e">
        <f t="shared" ca="1" si="11"/>
        <v>#N/A</v>
      </c>
      <c r="Q44" s="4" t="e">
        <f t="shared" ca="1" si="12"/>
        <v>#N/A</v>
      </c>
    </row>
    <row r="45" spans="4:17" x14ac:dyDescent="0.25">
      <c r="D45" s="1"/>
      <c r="L45" s="4" t="str">
        <f t="shared" ca="1" si="7"/>
        <v xml:space="preserve"> </v>
      </c>
      <c r="M45" s="4" t="e">
        <f t="shared" ca="1" si="8"/>
        <v>#N/A</v>
      </c>
      <c r="N45" s="4" t="e">
        <f t="shared" ca="1" si="9"/>
        <v>#N/A</v>
      </c>
      <c r="O45" s="3" t="str">
        <f t="shared" ca="1" si="10"/>
        <v/>
      </c>
      <c r="P45" s="4" t="e">
        <f t="shared" ca="1" si="11"/>
        <v>#N/A</v>
      </c>
      <c r="Q45" s="4" t="e">
        <f t="shared" ca="1" si="12"/>
        <v>#N/A</v>
      </c>
    </row>
    <row r="46" spans="4:17" x14ac:dyDescent="0.25">
      <c r="D46" s="1"/>
      <c r="E46" s="10"/>
      <c r="F46" s="10"/>
      <c r="L46" s="4" t="str">
        <f t="shared" ca="1" si="7"/>
        <v xml:space="preserve"> </v>
      </c>
      <c r="M46" s="4" t="e">
        <f t="shared" ca="1" si="8"/>
        <v>#N/A</v>
      </c>
      <c r="N46" s="4" t="e">
        <f t="shared" ca="1" si="9"/>
        <v>#N/A</v>
      </c>
      <c r="O46" s="3" t="str">
        <f t="shared" ca="1" si="10"/>
        <v/>
      </c>
      <c r="P46" s="4" t="e">
        <f t="shared" ca="1" si="11"/>
        <v>#N/A</v>
      </c>
      <c r="Q46" s="4" t="e">
        <f t="shared" ca="1" si="12"/>
        <v>#N/A</v>
      </c>
    </row>
    <row r="47" spans="4:17" x14ac:dyDescent="0.25">
      <c r="D47" s="1"/>
      <c r="E47" s="4"/>
      <c r="F47" s="4"/>
      <c r="G47" s="4"/>
      <c r="H47" s="4"/>
      <c r="I47" s="4"/>
      <c r="J47" s="4"/>
      <c r="L47" s="4" t="str">
        <f t="shared" ca="1" si="7"/>
        <v xml:space="preserve"> </v>
      </c>
      <c r="M47" s="4" t="e">
        <f t="shared" ca="1" si="8"/>
        <v>#N/A</v>
      </c>
      <c r="N47" s="4" t="e">
        <f t="shared" ca="1" si="9"/>
        <v>#N/A</v>
      </c>
      <c r="O47" s="3" t="str">
        <f t="shared" ca="1" si="10"/>
        <v/>
      </c>
      <c r="P47" s="4" t="e">
        <f t="shared" ca="1" si="11"/>
        <v>#N/A</v>
      </c>
      <c r="Q47" s="4" t="e">
        <f t="shared" ca="1" si="12"/>
        <v>#N/A</v>
      </c>
    </row>
    <row r="48" spans="4:17" x14ac:dyDescent="0.25">
      <c r="D48" s="1"/>
      <c r="L48" s="4" t="str">
        <f t="shared" ca="1" si="7"/>
        <v xml:space="preserve"> </v>
      </c>
      <c r="M48" s="4" t="e">
        <f t="shared" ca="1" si="8"/>
        <v>#N/A</v>
      </c>
      <c r="N48" s="4" t="e">
        <f t="shared" ca="1" si="9"/>
        <v>#N/A</v>
      </c>
      <c r="O48" s="3" t="str">
        <f t="shared" ca="1" si="10"/>
        <v/>
      </c>
      <c r="P48" s="4" t="e">
        <f t="shared" ca="1" si="11"/>
        <v>#N/A</v>
      </c>
      <c r="Q48" s="4" t="e">
        <f t="shared" ca="1" si="12"/>
        <v>#N/A</v>
      </c>
    </row>
    <row r="49" spans="1:17" x14ac:dyDescent="0.25">
      <c r="D49" s="1"/>
      <c r="E49" s="10"/>
      <c r="F49" s="10"/>
      <c r="L49" s="4" t="str">
        <f t="shared" ca="1" si="7"/>
        <v xml:space="preserve"> </v>
      </c>
      <c r="M49" s="4" t="e">
        <f t="shared" ca="1" si="8"/>
        <v>#N/A</v>
      </c>
      <c r="N49" s="4" t="e">
        <f t="shared" ca="1" si="9"/>
        <v>#N/A</v>
      </c>
      <c r="O49" s="3" t="str">
        <f t="shared" ca="1" si="10"/>
        <v/>
      </c>
      <c r="P49" s="4" t="e">
        <f t="shared" ca="1" si="11"/>
        <v>#N/A</v>
      </c>
      <c r="Q49" s="4" t="e">
        <f t="shared" ca="1" si="12"/>
        <v>#N/A</v>
      </c>
    </row>
    <row r="50" spans="1:17" x14ac:dyDescent="0.25">
      <c r="D50" s="1"/>
      <c r="L50" s="4" t="str">
        <f t="shared" ca="1" si="7"/>
        <v xml:space="preserve"> </v>
      </c>
      <c r="M50" s="4" t="e">
        <f t="shared" ca="1" si="8"/>
        <v>#N/A</v>
      </c>
      <c r="N50" s="4" t="e">
        <f t="shared" ca="1" si="9"/>
        <v>#N/A</v>
      </c>
      <c r="O50" s="3" t="str">
        <f t="shared" ca="1" si="10"/>
        <v/>
      </c>
      <c r="P50" s="4" t="e">
        <f t="shared" ca="1" si="11"/>
        <v>#N/A</v>
      </c>
      <c r="Q50" s="4" t="e">
        <f t="shared" ca="1" si="12"/>
        <v>#N/A</v>
      </c>
    </row>
    <row r="51" spans="1:17" x14ac:dyDescent="0.25">
      <c r="D51" s="1"/>
      <c r="L51" s="4" t="str">
        <f t="shared" ca="1" si="7"/>
        <v xml:space="preserve"> </v>
      </c>
      <c r="O51" s="3" t="str">
        <f t="shared" ca="1" si="10"/>
        <v/>
      </c>
      <c r="P51" s="4" t="e">
        <f t="shared" ca="1" si="11"/>
        <v>#N/A</v>
      </c>
      <c r="Q51" s="4" t="e">
        <f t="shared" ca="1" si="12"/>
        <v>#N/A</v>
      </c>
    </row>
    <row r="52" spans="1:17" x14ac:dyDescent="0.25">
      <c r="D52" s="1"/>
      <c r="E52" s="10"/>
      <c r="F52" s="10"/>
      <c r="L52" s="4" t="str">
        <f t="shared" ca="1" si="7"/>
        <v xml:space="preserve"> </v>
      </c>
      <c r="O52" s="3" t="str">
        <f t="shared" ca="1" si="10"/>
        <v/>
      </c>
      <c r="P52" s="4" t="e">
        <f t="shared" ca="1" si="11"/>
        <v>#N/A</v>
      </c>
      <c r="Q52" s="4" t="e">
        <f t="shared" ca="1" si="12"/>
        <v>#N/A</v>
      </c>
    </row>
    <row r="53" spans="1:17" x14ac:dyDescent="0.25">
      <c r="D53" s="1"/>
      <c r="L53" s="4" t="str">
        <f t="shared" ca="1" si="7"/>
        <v xml:space="preserve"> </v>
      </c>
      <c r="O53" s="3" t="str">
        <f t="shared" ca="1" si="10"/>
        <v/>
      </c>
      <c r="P53" s="4" t="e">
        <f t="shared" ca="1" si="11"/>
        <v>#N/A</v>
      </c>
      <c r="Q53" s="4" t="e">
        <f t="shared" ca="1" si="12"/>
        <v>#N/A</v>
      </c>
    </row>
    <row r="54" spans="1:17" x14ac:dyDescent="0.25">
      <c r="D54" s="1"/>
      <c r="E54" s="10"/>
      <c r="F54" s="10"/>
      <c r="L54" s="4" t="str">
        <f t="shared" ca="1" si="7"/>
        <v xml:space="preserve"> </v>
      </c>
      <c r="O54" s="3" t="str">
        <f t="shared" ca="1" si="10"/>
        <v/>
      </c>
      <c r="P54" s="4" t="e">
        <f t="shared" ca="1" si="11"/>
        <v>#N/A</v>
      </c>
      <c r="Q54" s="4" t="e">
        <f t="shared" ca="1" si="12"/>
        <v>#N/A</v>
      </c>
    </row>
    <row r="55" spans="1:17" x14ac:dyDescent="0.25">
      <c r="D55" s="1"/>
      <c r="E55" s="4"/>
      <c r="F55" s="4"/>
      <c r="G55" s="4"/>
      <c r="H55" s="4"/>
      <c r="I55" s="4"/>
      <c r="J55" s="4"/>
      <c r="L55" s="4" t="str">
        <f t="shared" ca="1" si="7"/>
        <v xml:space="preserve"> </v>
      </c>
      <c r="O55" s="3" t="str">
        <f t="shared" ca="1" si="10"/>
        <v/>
      </c>
      <c r="P55" s="4" t="e">
        <f t="shared" ca="1" si="11"/>
        <v>#N/A</v>
      </c>
      <c r="Q55" s="4" t="e">
        <f t="shared" ca="1" si="12"/>
        <v>#N/A</v>
      </c>
    </row>
    <row r="56" spans="1:17" x14ac:dyDescent="0.25">
      <c r="D56" s="1"/>
      <c r="E56" s="10"/>
      <c r="F56" s="10"/>
      <c r="L56" s="4" t="str">
        <f t="shared" ca="1" si="7"/>
        <v xml:space="preserve"> </v>
      </c>
      <c r="O56" s="3" t="str">
        <f t="shared" ca="1" si="10"/>
        <v/>
      </c>
      <c r="P56" s="4" t="e">
        <f t="shared" ca="1" si="11"/>
        <v>#N/A</v>
      </c>
      <c r="Q56" s="4" t="e">
        <f t="shared" ca="1" si="12"/>
        <v>#N/A</v>
      </c>
    </row>
    <row r="57" spans="1:17" x14ac:dyDescent="0.25">
      <c r="D57" s="1"/>
      <c r="E57" s="10"/>
      <c r="F57" s="10"/>
      <c r="L57" s="4" t="str">
        <f t="shared" ca="1" si="7"/>
        <v xml:space="preserve"> </v>
      </c>
      <c r="O57" s="3" t="str">
        <f t="shared" ca="1" si="10"/>
        <v/>
      </c>
      <c r="P57" s="4" t="e">
        <f t="shared" ca="1" si="11"/>
        <v>#N/A</v>
      </c>
      <c r="Q57" s="4" t="e">
        <f t="shared" ca="1" si="12"/>
        <v>#N/A</v>
      </c>
    </row>
    <row r="58" spans="1:17" x14ac:dyDescent="0.25">
      <c r="D58" s="1"/>
      <c r="E58" s="10"/>
      <c r="F58" s="10"/>
      <c r="L58" s="4" t="str">
        <f t="shared" ca="1" si="7"/>
        <v xml:space="preserve"> </v>
      </c>
      <c r="O58" s="3" t="str">
        <f t="shared" ca="1" si="10"/>
        <v/>
      </c>
      <c r="P58" s="4" t="e">
        <f t="shared" ca="1" si="11"/>
        <v>#N/A</v>
      </c>
      <c r="Q58" s="4" t="e">
        <f t="shared" ca="1" si="12"/>
        <v>#N/A</v>
      </c>
    </row>
    <row r="59" spans="1:17" x14ac:dyDescent="0.25">
      <c r="D59" s="1"/>
      <c r="L59" s="4" t="str">
        <f t="shared" ca="1" si="7"/>
        <v xml:space="preserve"> </v>
      </c>
      <c r="O59" s="3" t="str">
        <f t="shared" ca="1" si="10"/>
        <v/>
      </c>
      <c r="P59" s="4" t="e">
        <f t="shared" ca="1" si="11"/>
        <v>#N/A</v>
      </c>
      <c r="Q59" s="4" t="e">
        <f t="shared" ca="1" si="12"/>
        <v>#N/A</v>
      </c>
    </row>
    <row r="60" spans="1:17" x14ac:dyDescent="0.25">
      <c r="D60" s="1"/>
      <c r="E60" s="10"/>
      <c r="F60" s="10"/>
      <c r="O60" s="3" t="str">
        <f t="shared" ca="1" si="10"/>
        <v/>
      </c>
      <c r="P60" s="4" t="e">
        <f t="shared" ca="1" si="11"/>
        <v>#N/A</v>
      </c>
      <c r="Q60" s="4" t="e">
        <f t="shared" ca="1" si="12"/>
        <v>#N/A</v>
      </c>
    </row>
    <row r="61" spans="1:17" x14ac:dyDescent="0.25">
      <c r="A61" s="4">
        <v>58</v>
      </c>
      <c r="C61" s="4" t="s">
        <v>4</v>
      </c>
      <c r="H61" s="8" t="s">
        <v>47</v>
      </c>
      <c r="I61" s="8" t="s">
        <v>53</v>
      </c>
      <c r="J61" s="8" t="s">
        <v>46</v>
      </c>
    </row>
    <row r="62" spans="1:17" x14ac:dyDescent="0.25">
      <c r="A62" s="4">
        <v>59</v>
      </c>
      <c r="C62" s="4" t="s">
        <v>4</v>
      </c>
      <c r="H62" s="8" t="s">
        <v>47</v>
      </c>
      <c r="I62" s="8" t="s">
        <v>53</v>
      </c>
      <c r="J62" s="8" t="s">
        <v>46</v>
      </c>
    </row>
    <row r="63" spans="1:17" x14ac:dyDescent="0.25">
      <c r="A63" s="4">
        <v>60</v>
      </c>
      <c r="C63" s="4" t="s">
        <v>4</v>
      </c>
      <c r="H63" s="8" t="s">
        <v>47</v>
      </c>
      <c r="I63" s="8" t="s">
        <v>53</v>
      </c>
      <c r="J63" s="8" t="s">
        <v>46</v>
      </c>
    </row>
    <row r="64" spans="1:17" x14ac:dyDescent="0.25">
      <c r="A64" s="4">
        <v>61</v>
      </c>
      <c r="C64" s="4" t="s">
        <v>4</v>
      </c>
      <c r="H64" s="8" t="s">
        <v>47</v>
      </c>
      <c r="I64" s="8" t="s">
        <v>53</v>
      </c>
      <c r="J64" s="8" t="s">
        <v>46</v>
      </c>
    </row>
    <row r="65" spans="1:10" x14ac:dyDescent="0.25">
      <c r="A65" s="4">
        <v>62</v>
      </c>
      <c r="C65" s="4" t="s">
        <v>4</v>
      </c>
      <c r="H65" s="8" t="s">
        <v>47</v>
      </c>
      <c r="I65" s="8" t="s">
        <v>53</v>
      </c>
      <c r="J65" s="8" t="s">
        <v>46</v>
      </c>
    </row>
    <row r="66" spans="1:10" x14ac:dyDescent="0.25">
      <c r="A66" s="4">
        <v>63</v>
      </c>
      <c r="C66" s="4" t="s">
        <v>4</v>
      </c>
      <c r="H66" s="8" t="s">
        <v>47</v>
      </c>
      <c r="I66" s="8" t="s">
        <v>53</v>
      </c>
      <c r="J66" s="8" t="s">
        <v>46</v>
      </c>
    </row>
    <row r="67" spans="1:10" x14ac:dyDescent="0.25">
      <c r="A67" s="4">
        <v>64</v>
      </c>
      <c r="C67" s="4" t="s">
        <v>4</v>
      </c>
      <c r="H67" s="8" t="s">
        <v>47</v>
      </c>
      <c r="I67" s="8" t="s">
        <v>53</v>
      </c>
      <c r="J67" s="8" t="s">
        <v>46</v>
      </c>
    </row>
    <row r="68" spans="1:10" x14ac:dyDescent="0.25">
      <c r="A68" s="4">
        <v>65</v>
      </c>
      <c r="C68" s="4" t="s">
        <v>4</v>
      </c>
      <c r="H68" s="8" t="s">
        <v>47</v>
      </c>
      <c r="I68" s="8" t="s">
        <v>53</v>
      </c>
      <c r="J68" s="8" t="s">
        <v>46</v>
      </c>
    </row>
    <row r="69" spans="1:10" x14ac:dyDescent="0.25">
      <c r="A69" s="4">
        <v>66</v>
      </c>
      <c r="C69" s="4" t="s">
        <v>4</v>
      </c>
      <c r="H69" s="8" t="s">
        <v>47</v>
      </c>
      <c r="I69" s="8" t="s">
        <v>53</v>
      </c>
      <c r="J69" s="8" t="s">
        <v>46</v>
      </c>
    </row>
    <row r="70" spans="1:10" x14ac:dyDescent="0.25">
      <c r="A70" s="4">
        <v>67</v>
      </c>
      <c r="C70" s="4" t="s">
        <v>4</v>
      </c>
      <c r="H70" s="8" t="s">
        <v>47</v>
      </c>
      <c r="I70" s="8" t="s">
        <v>53</v>
      </c>
      <c r="J70" s="8" t="s">
        <v>46</v>
      </c>
    </row>
    <row r="71" spans="1:10" x14ac:dyDescent="0.25">
      <c r="A71" s="4">
        <v>68</v>
      </c>
      <c r="C71" s="4" t="s">
        <v>5</v>
      </c>
      <c r="H71" s="8" t="s">
        <v>47</v>
      </c>
      <c r="I71" s="8" t="s">
        <v>53</v>
      </c>
      <c r="J71" s="8" t="s">
        <v>46</v>
      </c>
    </row>
    <row r="72" spans="1:10" x14ac:dyDescent="0.25">
      <c r="A72" s="4">
        <v>69</v>
      </c>
      <c r="C72" s="4" t="s">
        <v>5</v>
      </c>
      <c r="H72" s="8" t="s">
        <v>47</v>
      </c>
      <c r="I72" s="8" t="s">
        <v>53</v>
      </c>
      <c r="J72" s="8" t="s">
        <v>46</v>
      </c>
    </row>
    <row r="73" spans="1:10" x14ac:dyDescent="0.25">
      <c r="A73" s="4">
        <v>70</v>
      </c>
      <c r="C73" s="4" t="s">
        <v>5</v>
      </c>
      <c r="H73" s="8" t="s">
        <v>47</v>
      </c>
      <c r="I73" s="8" t="s">
        <v>53</v>
      </c>
      <c r="J73" s="8" t="s">
        <v>46</v>
      </c>
    </row>
    <row r="74" spans="1:10" x14ac:dyDescent="0.25">
      <c r="A74" s="4">
        <v>71</v>
      </c>
      <c r="C74" s="4" t="s">
        <v>5</v>
      </c>
      <c r="H74" s="8" t="s">
        <v>47</v>
      </c>
      <c r="I74" s="8" t="s">
        <v>53</v>
      </c>
      <c r="J74" s="8" t="s">
        <v>46</v>
      </c>
    </row>
    <row r="75" spans="1:10" x14ac:dyDescent="0.25">
      <c r="A75" s="4">
        <v>72</v>
      </c>
      <c r="C75" s="4" t="s">
        <v>5</v>
      </c>
      <c r="H75" s="8" t="s">
        <v>47</v>
      </c>
      <c r="I75" s="8" t="s">
        <v>53</v>
      </c>
      <c r="J75" s="8" t="s">
        <v>46</v>
      </c>
    </row>
    <row r="76" spans="1:10" x14ac:dyDescent="0.25">
      <c r="A76" s="4">
        <v>73</v>
      </c>
      <c r="C76" s="4" t="s">
        <v>5</v>
      </c>
      <c r="H76" s="8" t="s">
        <v>47</v>
      </c>
      <c r="I76" s="8" t="s">
        <v>53</v>
      </c>
      <c r="J76" s="8" t="s">
        <v>46</v>
      </c>
    </row>
    <row r="77" spans="1:10" x14ac:dyDescent="0.25">
      <c r="A77" s="4">
        <v>74</v>
      </c>
      <c r="C77" s="4" t="s">
        <v>5</v>
      </c>
      <c r="H77" s="8" t="s">
        <v>48</v>
      </c>
      <c r="I77" s="8" t="s">
        <v>53</v>
      </c>
      <c r="J77" s="8" t="s">
        <v>46</v>
      </c>
    </row>
    <row r="78" spans="1:10" x14ac:dyDescent="0.25">
      <c r="A78" s="4">
        <v>75</v>
      </c>
      <c r="C78" s="4" t="s">
        <v>5</v>
      </c>
      <c r="H78" s="8" t="s">
        <v>47</v>
      </c>
      <c r="I78" s="8" t="s">
        <v>53</v>
      </c>
      <c r="J78" s="8" t="s">
        <v>46</v>
      </c>
    </row>
    <row r="79" spans="1:10" x14ac:dyDescent="0.25">
      <c r="A79" s="4">
        <v>76</v>
      </c>
      <c r="C79" s="4" t="s">
        <v>5</v>
      </c>
      <c r="H79" s="8" t="s">
        <v>47</v>
      </c>
      <c r="I79" s="8" t="s">
        <v>53</v>
      </c>
      <c r="J79" s="8" t="s">
        <v>46</v>
      </c>
    </row>
    <row r="80" spans="1:10" x14ac:dyDescent="0.25">
      <c r="A80" s="4">
        <v>77</v>
      </c>
      <c r="C80" s="4" t="s">
        <v>5</v>
      </c>
      <c r="H80" s="8" t="s">
        <v>47</v>
      </c>
      <c r="I80" s="8" t="s">
        <v>53</v>
      </c>
      <c r="J80" s="8" t="s">
        <v>46</v>
      </c>
    </row>
    <row r="81" spans="1:10" x14ac:dyDescent="0.25">
      <c r="A81" s="4">
        <v>78</v>
      </c>
      <c r="C81" s="4" t="s">
        <v>5</v>
      </c>
      <c r="H81" s="8" t="s">
        <v>47</v>
      </c>
      <c r="I81" s="8" t="s">
        <v>53</v>
      </c>
      <c r="J81" s="8" t="s">
        <v>46</v>
      </c>
    </row>
    <row r="82" spans="1:10" x14ac:dyDescent="0.25">
      <c r="A82" s="4">
        <v>79</v>
      </c>
      <c r="C82" s="4" t="s">
        <v>5</v>
      </c>
      <c r="H82" s="8" t="s">
        <v>47</v>
      </c>
      <c r="I82" s="8" t="s">
        <v>53</v>
      </c>
      <c r="J82" s="8" t="s">
        <v>46</v>
      </c>
    </row>
    <row r="83" spans="1:10" x14ac:dyDescent="0.25">
      <c r="A83" s="4">
        <v>80</v>
      </c>
      <c r="C83" s="4" t="s">
        <v>5</v>
      </c>
      <c r="H83" s="8" t="s">
        <v>47</v>
      </c>
      <c r="I83" s="8" t="s">
        <v>53</v>
      </c>
      <c r="J83" s="8" t="s">
        <v>46</v>
      </c>
    </row>
    <row r="84" spans="1:10" x14ac:dyDescent="0.25">
      <c r="A84" s="4">
        <v>81</v>
      </c>
      <c r="C84" s="4" t="s">
        <v>5</v>
      </c>
      <c r="H84" s="8" t="s">
        <v>47</v>
      </c>
      <c r="I84" s="8" t="s">
        <v>53</v>
      </c>
      <c r="J84" s="8" t="s">
        <v>46</v>
      </c>
    </row>
    <row r="85" spans="1:10" x14ac:dyDescent="0.25">
      <c r="A85" s="4">
        <v>82</v>
      </c>
      <c r="C85" s="4" t="s">
        <v>5</v>
      </c>
      <c r="H85" s="8" t="s">
        <v>47</v>
      </c>
      <c r="I85" s="8" t="s">
        <v>53</v>
      </c>
      <c r="J85" s="8" t="s">
        <v>46</v>
      </c>
    </row>
    <row r="86" spans="1:10" x14ac:dyDescent="0.25">
      <c r="A86" s="4">
        <v>83</v>
      </c>
      <c r="C86" s="4" t="s">
        <v>5</v>
      </c>
      <c r="H86" s="8" t="s">
        <v>47</v>
      </c>
      <c r="I86" s="8" t="s">
        <v>53</v>
      </c>
      <c r="J86" s="8" t="s">
        <v>46</v>
      </c>
    </row>
    <row r="87" spans="1:10" x14ac:dyDescent="0.25">
      <c r="A87" s="4">
        <v>84</v>
      </c>
      <c r="C87" s="4" t="s">
        <v>5</v>
      </c>
      <c r="H87" s="8" t="s">
        <v>47</v>
      </c>
      <c r="I87" s="8" t="s">
        <v>53</v>
      </c>
      <c r="J87" s="8" t="s">
        <v>46</v>
      </c>
    </row>
    <row r="88" spans="1:10" x14ac:dyDescent="0.25">
      <c r="A88" s="4">
        <v>85</v>
      </c>
      <c r="C88" s="4" t="s">
        <v>7</v>
      </c>
      <c r="H88" s="8" t="s">
        <v>47</v>
      </c>
      <c r="I88" s="8" t="s">
        <v>53</v>
      </c>
      <c r="J88" s="8" t="s">
        <v>46</v>
      </c>
    </row>
    <row r="89" spans="1:10" x14ac:dyDescent="0.25">
      <c r="A89" s="4">
        <v>86</v>
      </c>
      <c r="C89" s="4" t="s">
        <v>6</v>
      </c>
      <c r="H89" s="8" t="s">
        <v>47</v>
      </c>
      <c r="I89" s="8" t="s">
        <v>53</v>
      </c>
      <c r="J89" s="8" t="s">
        <v>46</v>
      </c>
    </row>
    <row r="90" spans="1:10" x14ac:dyDescent="0.25">
      <c r="A90" s="4">
        <v>87</v>
      </c>
      <c r="C90" s="4" t="s">
        <v>6</v>
      </c>
      <c r="H90" s="8" t="s">
        <v>47</v>
      </c>
      <c r="I90" s="8" t="s">
        <v>53</v>
      </c>
      <c r="J90" s="8" t="s">
        <v>46</v>
      </c>
    </row>
    <row r="91" spans="1:10" x14ac:dyDescent="0.25">
      <c r="A91" s="4">
        <v>88</v>
      </c>
      <c r="C91" s="4" t="s">
        <v>6</v>
      </c>
      <c r="H91" s="8" t="s">
        <v>47</v>
      </c>
      <c r="I91" s="8" t="s">
        <v>53</v>
      </c>
      <c r="J91" s="8" t="s">
        <v>46</v>
      </c>
    </row>
    <row r="92" spans="1:10" x14ac:dyDescent="0.25">
      <c r="A92" s="4">
        <v>89</v>
      </c>
      <c r="C92" s="4" t="s">
        <v>6</v>
      </c>
      <c r="H92" s="8" t="s">
        <v>47</v>
      </c>
      <c r="I92" s="8" t="s">
        <v>53</v>
      </c>
      <c r="J92" s="8" t="s">
        <v>46</v>
      </c>
    </row>
    <row r="93" spans="1:10" x14ac:dyDescent="0.25">
      <c r="A93" s="4">
        <v>90</v>
      </c>
      <c r="C93" s="4" t="s">
        <v>6</v>
      </c>
      <c r="H93" s="8" t="s">
        <v>47</v>
      </c>
      <c r="I93" s="8" t="s">
        <v>53</v>
      </c>
      <c r="J93" s="8" t="s">
        <v>46</v>
      </c>
    </row>
    <row r="94" spans="1:10" x14ac:dyDescent="0.25">
      <c r="A94" s="4">
        <v>91</v>
      </c>
      <c r="C94" s="4" t="s">
        <v>6</v>
      </c>
      <c r="H94" s="8" t="s">
        <v>47</v>
      </c>
      <c r="I94" s="8" t="s">
        <v>53</v>
      </c>
      <c r="J94" s="8" t="s">
        <v>46</v>
      </c>
    </row>
    <row r="95" spans="1:10" x14ac:dyDescent="0.25">
      <c r="A95" s="4">
        <v>92</v>
      </c>
      <c r="C95" s="4" t="s">
        <v>6</v>
      </c>
      <c r="H95" s="8" t="s">
        <v>47</v>
      </c>
      <c r="I95" s="8" t="s">
        <v>53</v>
      </c>
      <c r="J95" s="8" t="s">
        <v>46</v>
      </c>
    </row>
    <row r="96" spans="1:10" x14ac:dyDescent="0.25">
      <c r="A96" s="4">
        <v>93</v>
      </c>
      <c r="C96" s="4" t="s">
        <v>6</v>
      </c>
      <c r="H96" s="8" t="s">
        <v>47</v>
      </c>
      <c r="I96" s="8" t="s">
        <v>53</v>
      </c>
      <c r="J96" s="8" t="s">
        <v>46</v>
      </c>
    </row>
    <row r="97" spans="1:10" x14ac:dyDescent="0.25">
      <c r="A97" s="4">
        <v>94</v>
      </c>
      <c r="C97" s="4" t="s">
        <v>6</v>
      </c>
      <c r="H97" s="8" t="s">
        <v>47</v>
      </c>
      <c r="I97" s="8" t="s">
        <v>53</v>
      </c>
      <c r="J97" s="8" t="s">
        <v>46</v>
      </c>
    </row>
    <row r="98" spans="1:10" x14ac:dyDescent="0.25">
      <c r="A98" s="4">
        <v>95</v>
      </c>
      <c r="C98" s="4" t="s">
        <v>6</v>
      </c>
      <c r="H98" s="8" t="s">
        <v>47</v>
      </c>
      <c r="I98" s="8" t="s">
        <v>53</v>
      </c>
      <c r="J98" s="8" t="s">
        <v>46</v>
      </c>
    </row>
    <row r="99" spans="1:10" x14ac:dyDescent="0.25">
      <c r="A99" s="4">
        <v>96</v>
      </c>
      <c r="C99" s="4" t="s">
        <v>6</v>
      </c>
      <c r="H99" s="8" t="s">
        <v>47</v>
      </c>
      <c r="I99" s="8" t="s">
        <v>53</v>
      </c>
      <c r="J99" s="8" t="s">
        <v>46</v>
      </c>
    </row>
    <row r="100" spans="1:10" x14ac:dyDescent="0.25">
      <c r="A100" s="4">
        <v>97</v>
      </c>
      <c r="C100" s="4" t="s">
        <v>6</v>
      </c>
      <c r="H100" s="8" t="s">
        <v>48</v>
      </c>
      <c r="I100" s="8" t="s">
        <v>53</v>
      </c>
      <c r="J100" s="8" t="s">
        <v>46</v>
      </c>
    </row>
    <row r="101" spans="1:10" x14ac:dyDescent="0.25">
      <c r="A101" s="4">
        <v>98</v>
      </c>
      <c r="C101" s="4" t="s">
        <v>6</v>
      </c>
      <c r="H101" s="8" t="s">
        <v>47</v>
      </c>
      <c r="I101" s="8" t="s">
        <v>53</v>
      </c>
      <c r="J101" s="8" t="s">
        <v>46</v>
      </c>
    </row>
    <row r="102" spans="1:10" x14ac:dyDescent="0.25">
      <c r="A102" s="4">
        <v>99</v>
      </c>
      <c r="C102" s="4" t="s">
        <v>6</v>
      </c>
      <c r="H102" s="8" t="s">
        <v>47</v>
      </c>
      <c r="I102" s="8" t="s">
        <v>53</v>
      </c>
      <c r="J102" s="8" t="s">
        <v>46</v>
      </c>
    </row>
    <row r="103" spans="1:10" x14ac:dyDescent="0.25">
      <c r="A103" s="4">
        <v>100</v>
      </c>
      <c r="C103" s="4" t="s">
        <v>6</v>
      </c>
      <c r="H103" s="8" t="s">
        <v>47</v>
      </c>
      <c r="I103" s="8" t="s">
        <v>53</v>
      </c>
      <c r="J103" s="8" t="s">
        <v>46</v>
      </c>
    </row>
    <row r="104" spans="1:10" x14ac:dyDescent="0.25">
      <c r="A104" s="4">
        <v>101</v>
      </c>
      <c r="C104" s="4" t="s">
        <v>6</v>
      </c>
      <c r="H104" s="8" t="s">
        <v>47</v>
      </c>
      <c r="I104" s="8" t="s">
        <v>53</v>
      </c>
      <c r="J104" s="8" t="s">
        <v>46</v>
      </c>
    </row>
    <row r="105" spans="1:10" x14ac:dyDescent="0.25">
      <c r="A105" s="4">
        <v>102</v>
      </c>
      <c r="C105" s="4" t="s">
        <v>6</v>
      </c>
      <c r="H105" s="8" t="s">
        <v>47</v>
      </c>
      <c r="I105" s="8" t="s">
        <v>53</v>
      </c>
      <c r="J105" s="8" t="s">
        <v>46</v>
      </c>
    </row>
    <row r="106" spans="1:10" x14ac:dyDescent="0.25">
      <c r="A106" s="4">
        <v>103</v>
      </c>
      <c r="C106" s="4" t="s">
        <v>6</v>
      </c>
      <c r="H106" s="8" t="s">
        <v>47</v>
      </c>
      <c r="I106" s="8" t="s">
        <v>53</v>
      </c>
      <c r="J106" s="8" t="s">
        <v>46</v>
      </c>
    </row>
    <row r="107" spans="1:10" x14ac:dyDescent="0.25">
      <c r="A107" s="4">
        <v>104</v>
      </c>
      <c r="C107" s="4" t="s">
        <v>6</v>
      </c>
      <c r="H107" s="8" t="s">
        <v>48</v>
      </c>
      <c r="I107" s="8" t="s">
        <v>53</v>
      </c>
      <c r="J107" s="8" t="s">
        <v>46</v>
      </c>
    </row>
    <row r="108" spans="1:10" x14ac:dyDescent="0.25">
      <c r="A108" s="4">
        <v>105</v>
      </c>
      <c r="C108" s="4" t="s">
        <v>6</v>
      </c>
      <c r="H108" s="8" t="s">
        <v>47</v>
      </c>
      <c r="I108" s="8" t="s">
        <v>53</v>
      </c>
      <c r="J108" s="8" t="s">
        <v>46</v>
      </c>
    </row>
    <row r="109" spans="1:10" x14ac:dyDescent="0.25">
      <c r="A109" s="4">
        <v>106</v>
      </c>
      <c r="C109" s="4" t="s">
        <v>6</v>
      </c>
      <c r="H109" s="8" t="s">
        <v>47</v>
      </c>
      <c r="I109" s="8" t="s">
        <v>53</v>
      </c>
      <c r="J109" s="8" t="s">
        <v>46</v>
      </c>
    </row>
    <row r="110" spans="1:10" x14ac:dyDescent="0.25">
      <c r="A110" s="4">
        <v>107</v>
      </c>
      <c r="C110" s="4" t="s">
        <v>6</v>
      </c>
      <c r="H110" s="8" t="s">
        <v>47</v>
      </c>
      <c r="I110" s="8" t="s">
        <v>53</v>
      </c>
      <c r="J110" s="8" t="s">
        <v>46</v>
      </c>
    </row>
    <row r="111" spans="1:10" x14ac:dyDescent="0.25">
      <c r="A111" s="4">
        <v>108</v>
      </c>
      <c r="C111" s="4" t="s">
        <v>6</v>
      </c>
      <c r="H111" s="8" t="s">
        <v>47</v>
      </c>
      <c r="I111" s="8" t="s">
        <v>53</v>
      </c>
      <c r="J111" s="8" t="s">
        <v>46</v>
      </c>
    </row>
    <row r="112" spans="1:10" x14ac:dyDescent="0.25">
      <c r="A112" s="4">
        <v>109</v>
      </c>
      <c r="C112" s="4" t="s">
        <v>6</v>
      </c>
      <c r="H112" s="8" t="s">
        <v>47</v>
      </c>
      <c r="I112" s="8" t="s">
        <v>53</v>
      </c>
      <c r="J112" s="8" t="s">
        <v>46</v>
      </c>
    </row>
    <row r="113" spans="1:10" x14ac:dyDescent="0.25">
      <c r="A113" s="4">
        <v>110</v>
      </c>
      <c r="C113" s="4" t="s">
        <v>6</v>
      </c>
      <c r="H113" s="8" t="s">
        <v>47</v>
      </c>
      <c r="I113" s="8" t="s">
        <v>53</v>
      </c>
      <c r="J113" s="8" t="s">
        <v>46</v>
      </c>
    </row>
    <row r="114" spans="1:10" x14ac:dyDescent="0.25">
      <c r="A114" s="4">
        <v>111</v>
      </c>
      <c r="C114" s="4" t="s">
        <v>6</v>
      </c>
      <c r="H114" s="8" t="s">
        <v>47</v>
      </c>
      <c r="I114" s="8" t="s">
        <v>53</v>
      </c>
      <c r="J114" s="8" t="s">
        <v>46</v>
      </c>
    </row>
    <row r="115" spans="1:10" x14ac:dyDescent="0.25">
      <c r="A115" s="4">
        <v>112</v>
      </c>
      <c r="C115" s="4" t="s">
        <v>6</v>
      </c>
      <c r="H115" s="8" t="s">
        <v>47</v>
      </c>
      <c r="I115" s="8" t="s">
        <v>53</v>
      </c>
      <c r="J115" s="8" t="s">
        <v>46</v>
      </c>
    </row>
    <row r="116" spans="1:10" x14ac:dyDescent="0.25">
      <c r="A116" s="4">
        <v>113</v>
      </c>
      <c r="C116" s="4" t="s">
        <v>8</v>
      </c>
      <c r="H116" s="8" t="s">
        <v>47</v>
      </c>
      <c r="I116" s="8" t="s">
        <v>53</v>
      </c>
      <c r="J116" s="8" t="s">
        <v>46</v>
      </c>
    </row>
    <row r="117" spans="1:10" x14ac:dyDescent="0.25">
      <c r="A117" s="4">
        <v>114</v>
      </c>
      <c r="C117" s="4" t="s">
        <v>8</v>
      </c>
      <c r="H117" s="8" t="s">
        <v>47</v>
      </c>
      <c r="I117" s="8" t="s">
        <v>53</v>
      </c>
      <c r="J117" s="8" t="s">
        <v>46</v>
      </c>
    </row>
    <row r="118" spans="1:10" x14ac:dyDescent="0.25">
      <c r="A118" s="4">
        <v>115</v>
      </c>
      <c r="C118" s="4" t="s">
        <v>8</v>
      </c>
      <c r="H118" s="8" t="s">
        <v>47</v>
      </c>
      <c r="I118" s="8" t="s">
        <v>53</v>
      </c>
      <c r="J118" s="8" t="s">
        <v>46</v>
      </c>
    </row>
    <row r="119" spans="1:10" x14ac:dyDescent="0.25">
      <c r="A119" s="4">
        <v>116</v>
      </c>
      <c r="C119" s="4" t="s">
        <v>9</v>
      </c>
      <c r="H119" s="8" t="s">
        <v>47</v>
      </c>
      <c r="I119" s="8" t="s">
        <v>53</v>
      </c>
      <c r="J119" s="8" t="s">
        <v>46</v>
      </c>
    </row>
    <row r="120" spans="1:10" x14ac:dyDescent="0.25">
      <c r="A120" s="4">
        <v>117</v>
      </c>
      <c r="C120" s="4" t="s">
        <v>9</v>
      </c>
      <c r="H120" s="8" t="s">
        <v>47</v>
      </c>
      <c r="I120" s="8" t="s">
        <v>53</v>
      </c>
      <c r="J120" s="8" t="s">
        <v>46</v>
      </c>
    </row>
    <row r="121" spans="1:10" x14ac:dyDescent="0.25">
      <c r="A121" s="4">
        <v>118</v>
      </c>
      <c r="C121" s="4" t="s">
        <v>9</v>
      </c>
      <c r="H121" s="8" t="s">
        <v>47</v>
      </c>
      <c r="I121" s="8" t="s">
        <v>53</v>
      </c>
      <c r="J121" s="8" t="s">
        <v>46</v>
      </c>
    </row>
    <row r="122" spans="1:10" x14ac:dyDescent="0.25">
      <c r="A122" s="4">
        <v>119</v>
      </c>
      <c r="C122" s="4" t="s">
        <v>9</v>
      </c>
      <c r="H122" s="8" t="s">
        <v>47</v>
      </c>
      <c r="I122" s="8" t="s">
        <v>53</v>
      </c>
      <c r="J122" s="8" t="s">
        <v>46</v>
      </c>
    </row>
    <row r="123" spans="1:10" x14ac:dyDescent="0.25">
      <c r="A123" s="4">
        <v>120</v>
      </c>
      <c r="C123" s="4" t="s">
        <v>9</v>
      </c>
      <c r="H123" s="8" t="s">
        <v>47</v>
      </c>
      <c r="I123" s="8" t="s">
        <v>53</v>
      </c>
      <c r="J123" s="8" t="s">
        <v>46</v>
      </c>
    </row>
    <row r="124" spans="1:10" x14ac:dyDescent="0.25">
      <c r="A124" s="4">
        <v>121</v>
      </c>
      <c r="C124" s="4" t="s">
        <v>9</v>
      </c>
      <c r="H124" s="8" t="s">
        <v>47</v>
      </c>
      <c r="I124" s="8" t="s">
        <v>53</v>
      </c>
      <c r="J124" s="8" t="s">
        <v>46</v>
      </c>
    </row>
    <row r="125" spans="1:10" x14ac:dyDescent="0.25">
      <c r="A125" s="4">
        <v>122</v>
      </c>
      <c r="C125" s="4" t="s">
        <v>9</v>
      </c>
      <c r="H125" s="8" t="s">
        <v>47</v>
      </c>
      <c r="I125" s="8" t="s">
        <v>53</v>
      </c>
      <c r="J125" s="8" t="s">
        <v>46</v>
      </c>
    </row>
    <row r="126" spans="1:10" x14ac:dyDescent="0.25">
      <c r="A126" s="4">
        <v>123</v>
      </c>
      <c r="C126" s="4" t="s">
        <v>9</v>
      </c>
      <c r="H126" s="8" t="s">
        <v>48</v>
      </c>
      <c r="I126" s="8" t="s">
        <v>53</v>
      </c>
      <c r="J126" s="8" t="s">
        <v>46</v>
      </c>
    </row>
    <row r="127" spans="1:10" x14ac:dyDescent="0.25">
      <c r="A127" s="4">
        <v>124</v>
      </c>
      <c r="C127" s="4" t="s">
        <v>9</v>
      </c>
      <c r="H127" s="8" t="s">
        <v>47</v>
      </c>
      <c r="I127" s="8" t="s">
        <v>53</v>
      </c>
      <c r="J127" s="8" t="s">
        <v>46</v>
      </c>
    </row>
    <row r="128" spans="1:10" x14ac:dyDescent="0.25">
      <c r="A128" s="4">
        <v>125</v>
      </c>
      <c r="C128" s="4" t="s">
        <v>9</v>
      </c>
      <c r="H128" s="8" t="s">
        <v>47</v>
      </c>
      <c r="I128" s="8" t="s">
        <v>53</v>
      </c>
      <c r="J128" s="8" t="s">
        <v>46</v>
      </c>
    </row>
    <row r="129" spans="1:10" x14ac:dyDescent="0.25">
      <c r="A129" s="4">
        <v>126</v>
      </c>
      <c r="C129" s="4" t="s">
        <v>9</v>
      </c>
      <c r="H129" s="8" t="s">
        <v>47</v>
      </c>
      <c r="I129" s="8" t="s">
        <v>53</v>
      </c>
      <c r="J129" s="8" t="s">
        <v>46</v>
      </c>
    </row>
    <row r="130" spans="1:10" x14ac:dyDescent="0.25">
      <c r="A130" s="4">
        <v>127</v>
      </c>
      <c r="C130" s="4" t="s">
        <v>9</v>
      </c>
      <c r="H130" s="8" t="s">
        <v>47</v>
      </c>
      <c r="I130" s="8" t="s">
        <v>53</v>
      </c>
      <c r="J130" s="8" t="s">
        <v>46</v>
      </c>
    </row>
    <row r="131" spans="1:10" x14ac:dyDescent="0.25">
      <c r="A131" s="4">
        <v>128</v>
      </c>
      <c r="C131" s="4" t="s">
        <v>9</v>
      </c>
      <c r="H131" s="8" t="s">
        <v>47</v>
      </c>
      <c r="I131" s="8" t="s">
        <v>53</v>
      </c>
      <c r="J131" s="8" t="s">
        <v>46</v>
      </c>
    </row>
    <row r="132" spans="1:10" x14ac:dyDescent="0.25">
      <c r="A132" s="4">
        <v>129</v>
      </c>
      <c r="C132" s="4" t="s">
        <v>9</v>
      </c>
      <c r="H132" s="8" t="s">
        <v>47</v>
      </c>
      <c r="I132" s="8" t="s">
        <v>53</v>
      </c>
      <c r="J132" s="8" t="s">
        <v>46</v>
      </c>
    </row>
    <row r="133" spans="1:10" x14ac:dyDescent="0.25">
      <c r="A133" s="4">
        <v>130</v>
      </c>
      <c r="C133" s="4" t="s">
        <v>9</v>
      </c>
      <c r="H133" s="8" t="s">
        <v>47</v>
      </c>
      <c r="I133" s="8" t="s">
        <v>53</v>
      </c>
      <c r="J133" s="8" t="s">
        <v>46</v>
      </c>
    </row>
    <row r="134" spans="1:10" x14ac:dyDescent="0.25">
      <c r="A134" s="4">
        <v>131</v>
      </c>
      <c r="C134" s="4" t="s">
        <v>9</v>
      </c>
      <c r="H134" s="8" t="s">
        <v>47</v>
      </c>
      <c r="I134" s="8" t="s">
        <v>53</v>
      </c>
      <c r="J134" s="8" t="s">
        <v>46</v>
      </c>
    </row>
    <row r="135" spans="1:10" x14ac:dyDescent="0.25">
      <c r="A135" s="4">
        <v>132</v>
      </c>
      <c r="C135" s="4" t="s">
        <v>9</v>
      </c>
      <c r="H135" s="8" t="s">
        <v>47</v>
      </c>
      <c r="I135" s="8" t="s">
        <v>53</v>
      </c>
      <c r="J135" s="8" t="s">
        <v>46</v>
      </c>
    </row>
    <row r="136" spans="1:10" x14ac:dyDescent="0.25">
      <c r="A136" s="4">
        <v>133</v>
      </c>
      <c r="C136" s="4" t="s">
        <v>9</v>
      </c>
      <c r="H136" s="8" t="s">
        <v>47</v>
      </c>
      <c r="I136" s="8" t="s">
        <v>53</v>
      </c>
      <c r="J136" s="8" t="s">
        <v>46</v>
      </c>
    </row>
    <row r="137" spans="1:10" x14ac:dyDescent="0.25">
      <c r="A137" s="4">
        <v>134</v>
      </c>
      <c r="C137" s="4" t="s">
        <v>10</v>
      </c>
      <c r="H137" s="8" t="s">
        <v>47</v>
      </c>
      <c r="I137" s="8" t="s">
        <v>53</v>
      </c>
      <c r="J137" s="8" t="s">
        <v>46</v>
      </c>
    </row>
    <row r="138" spans="1:10" x14ac:dyDescent="0.25">
      <c r="A138" s="4">
        <v>135</v>
      </c>
      <c r="C138" s="4" t="s">
        <v>10</v>
      </c>
      <c r="H138" s="8" t="s">
        <v>47</v>
      </c>
      <c r="I138" s="8" t="s">
        <v>53</v>
      </c>
      <c r="J138" s="8" t="s">
        <v>46</v>
      </c>
    </row>
    <row r="139" spans="1:10" x14ac:dyDescent="0.25">
      <c r="A139" s="4">
        <v>136</v>
      </c>
      <c r="C139" s="4" t="s">
        <v>10</v>
      </c>
      <c r="H139" s="8" t="s">
        <v>48</v>
      </c>
      <c r="I139" s="8" t="s">
        <v>53</v>
      </c>
      <c r="J139" s="8" t="s">
        <v>46</v>
      </c>
    </row>
    <row r="140" spans="1:10" x14ac:dyDescent="0.25">
      <c r="A140" s="4">
        <v>137</v>
      </c>
      <c r="C140" s="4" t="s">
        <v>10</v>
      </c>
      <c r="H140" s="8" t="s">
        <v>47</v>
      </c>
      <c r="I140" s="8" t="s">
        <v>53</v>
      </c>
      <c r="J140" s="8" t="s">
        <v>46</v>
      </c>
    </row>
    <row r="141" spans="1:10" x14ac:dyDescent="0.25">
      <c r="A141" s="4">
        <v>138</v>
      </c>
      <c r="C141" s="4" t="s">
        <v>10</v>
      </c>
      <c r="H141" s="8" t="s">
        <v>47</v>
      </c>
      <c r="I141" s="8" t="s">
        <v>53</v>
      </c>
      <c r="J141" s="8" t="s">
        <v>46</v>
      </c>
    </row>
    <row r="142" spans="1:10" x14ac:dyDescent="0.25">
      <c r="A142" s="4">
        <v>139</v>
      </c>
      <c r="C142" s="4" t="s">
        <v>10</v>
      </c>
      <c r="H142" s="8" t="s">
        <v>47</v>
      </c>
      <c r="I142" s="8" t="s">
        <v>53</v>
      </c>
      <c r="J142" s="8" t="s">
        <v>46</v>
      </c>
    </row>
    <row r="143" spans="1:10" x14ac:dyDescent="0.25">
      <c r="A143" s="4">
        <v>140</v>
      </c>
      <c r="C143" s="4" t="s">
        <v>10</v>
      </c>
      <c r="H143" s="8" t="s">
        <v>47</v>
      </c>
      <c r="I143" s="8" t="s">
        <v>53</v>
      </c>
      <c r="J143" s="8" t="s">
        <v>46</v>
      </c>
    </row>
    <row r="144" spans="1:10" x14ac:dyDescent="0.25">
      <c r="A144" s="4">
        <v>141</v>
      </c>
      <c r="C144" s="4" t="s">
        <v>10</v>
      </c>
      <c r="H144" s="8" t="s">
        <v>47</v>
      </c>
      <c r="I144" s="8" t="s">
        <v>53</v>
      </c>
      <c r="J144" s="8" t="s">
        <v>46</v>
      </c>
    </row>
    <row r="145" spans="1:10" x14ac:dyDescent="0.25">
      <c r="A145" s="4">
        <v>142</v>
      </c>
      <c r="C145" s="4" t="s">
        <v>10</v>
      </c>
      <c r="H145" s="8" t="s">
        <v>47</v>
      </c>
      <c r="I145" s="8" t="s">
        <v>53</v>
      </c>
      <c r="J145" s="8" t="s">
        <v>46</v>
      </c>
    </row>
    <row r="146" spans="1:10" x14ac:dyDescent="0.25">
      <c r="A146" s="4">
        <v>143</v>
      </c>
      <c r="C146" s="4" t="s">
        <v>10</v>
      </c>
      <c r="H146" s="8" t="s">
        <v>47</v>
      </c>
      <c r="I146" s="8" t="s">
        <v>53</v>
      </c>
      <c r="J146" s="8" t="s">
        <v>46</v>
      </c>
    </row>
    <row r="147" spans="1:10" x14ac:dyDescent="0.25">
      <c r="A147" s="4">
        <v>144</v>
      </c>
      <c r="C147" s="4" t="s">
        <v>10</v>
      </c>
      <c r="H147" s="8" t="s">
        <v>47</v>
      </c>
      <c r="I147" s="8" t="s">
        <v>53</v>
      </c>
      <c r="J147" s="8" t="s">
        <v>46</v>
      </c>
    </row>
    <row r="148" spans="1:10" x14ac:dyDescent="0.25">
      <c r="A148" s="4">
        <v>145</v>
      </c>
      <c r="C148" s="4" t="s">
        <v>10</v>
      </c>
      <c r="H148" s="8" t="s">
        <v>47</v>
      </c>
      <c r="I148" s="8" t="s">
        <v>53</v>
      </c>
      <c r="J148" s="8" t="s">
        <v>46</v>
      </c>
    </row>
    <row r="149" spans="1:10" x14ac:dyDescent="0.25">
      <c r="A149" s="4">
        <v>146</v>
      </c>
      <c r="C149" s="4" t="s">
        <v>10</v>
      </c>
      <c r="H149" s="8" t="s">
        <v>47</v>
      </c>
      <c r="I149" s="8" t="s">
        <v>53</v>
      </c>
      <c r="J149" s="8" t="s">
        <v>46</v>
      </c>
    </row>
    <row r="150" spans="1:10" x14ac:dyDescent="0.25">
      <c r="A150" s="4">
        <v>147</v>
      </c>
      <c r="C150" s="4" t="s">
        <v>10</v>
      </c>
      <c r="H150" s="8" t="s">
        <v>47</v>
      </c>
      <c r="I150" s="8" t="s">
        <v>53</v>
      </c>
      <c r="J150" s="8" t="s">
        <v>46</v>
      </c>
    </row>
    <row r="151" spans="1:10" x14ac:dyDescent="0.25">
      <c r="A151" s="4">
        <v>148</v>
      </c>
      <c r="C151" s="4" t="s">
        <v>10</v>
      </c>
      <c r="H151" s="8" t="s">
        <v>47</v>
      </c>
      <c r="I151" s="8" t="s">
        <v>53</v>
      </c>
      <c r="J151" s="8" t="s">
        <v>46</v>
      </c>
    </row>
    <row r="152" spans="1:10" x14ac:dyDescent="0.25">
      <c r="A152" s="4">
        <v>149</v>
      </c>
      <c r="C152" s="4" t="s">
        <v>10</v>
      </c>
      <c r="H152" s="8" t="s">
        <v>47</v>
      </c>
      <c r="I152" s="8" t="s">
        <v>53</v>
      </c>
      <c r="J152" s="8" t="s">
        <v>46</v>
      </c>
    </row>
    <row r="153" spans="1:10" x14ac:dyDescent="0.25">
      <c r="A153" s="4">
        <v>150</v>
      </c>
      <c r="C153" s="4" t="s">
        <v>10</v>
      </c>
      <c r="H153" s="8" t="s">
        <v>47</v>
      </c>
      <c r="I153" s="8" t="s">
        <v>53</v>
      </c>
      <c r="J153" s="8" t="s">
        <v>46</v>
      </c>
    </row>
    <row r="154" spans="1:10" x14ac:dyDescent="0.25">
      <c r="A154" s="4">
        <v>151</v>
      </c>
      <c r="C154" s="4" t="s">
        <v>10</v>
      </c>
      <c r="H154" s="8" t="s">
        <v>47</v>
      </c>
      <c r="I154" s="8" t="s">
        <v>53</v>
      </c>
      <c r="J154" s="8" t="s">
        <v>46</v>
      </c>
    </row>
    <row r="155" spans="1:10" x14ac:dyDescent="0.25">
      <c r="A155" s="4">
        <v>152</v>
      </c>
      <c r="C155" s="4" t="s">
        <v>10</v>
      </c>
      <c r="H155" s="8" t="s">
        <v>47</v>
      </c>
      <c r="I155" s="8" t="s">
        <v>53</v>
      </c>
      <c r="J155" s="8" t="s">
        <v>46</v>
      </c>
    </row>
    <row r="156" spans="1:10" x14ac:dyDescent="0.25">
      <c r="A156" s="4">
        <v>153</v>
      </c>
      <c r="C156" s="4" t="s">
        <v>10</v>
      </c>
      <c r="H156" s="8" t="s">
        <v>48</v>
      </c>
      <c r="I156" s="8" t="s">
        <v>53</v>
      </c>
      <c r="J156" s="8" t="s">
        <v>46</v>
      </c>
    </row>
    <row r="157" spans="1:10" x14ac:dyDescent="0.25">
      <c r="A157" s="4">
        <v>154</v>
      </c>
      <c r="C157" s="4" t="s">
        <v>10</v>
      </c>
      <c r="H157" s="8" t="s">
        <v>47</v>
      </c>
      <c r="I157" s="8" t="s">
        <v>53</v>
      </c>
      <c r="J157" s="8" t="s">
        <v>46</v>
      </c>
    </row>
    <row r="158" spans="1:10" x14ac:dyDescent="0.25">
      <c r="A158" s="4">
        <v>155</v>
      </c>
      <c r="C158" s="4" t="s">
        <v>10</v>
      </c>
      <c r="H158" s="8" t="s">
        <v>47</v>
      </c>
      <c r="I158" s="8" t="s">
        <v>53</v>
      </c>
      <c r="J158" s="8" t="s">
        <v>46</v>
      </c>
    </row>
    <row r="159" spans="1:10" x14ac:dyDescent="0.25">
      <c r="A159" s="4">
        <v>156</v>
      </c>
      <c r="C159" s="4" t="s">
        <v>10</v>
      </c>
      <c r="H159" s="8" t="s">
        <v>47</v>
      </c>
      <c r="I159" s="8" t="s">
        <v>53</v>
      </c>
      <c r="J159" s="8" t="s">
        <v>46</v>
      </c>
    </row>
    <row r="160" spans="1:10" x14ac:dyDescent="0.25">
      <c r="A160" s="4">
        <v>157</v>
      </c>
      <c r="C160" s="4" t="s">
        <v>10</v>
      </c>
      <c r="H160" s="8" t="s">
        <v>47</v>
      </c>
      <c r="I160" s="8" t="s">
        <v>53</v>
      </c>
      <c r="J160" s="8" t="s">
        <v>46</v>
      </c>
    </row>
    <row r="161" spans="1:10" x14ac:dyDescent="0.25">
      <c r="A161" s="4">
        <v>158</v>
      </c>
      <c r="C161" s="4" t="s">
        <v>10</v>
      </c>
      <c r="H161" s="8" t="s">
        <v>47</v>
      </c>
      <c r="I161" s="8" t="s">
        <v>53</v>
      </c>
      <c r="J161" s="8" t="s">
        <v>46</v>
      </c>
    </row>
    <row r="162" spans="1:10" x14ac:dyDescent="0.25">
      <c r="A162" s="4">
        <v>159</v>
      </c>
      <c r="C162" s="4" t="s">
        <v>10</v>
      </c>
      <c r="H162" s="8" t="s">
        <v>47</v>
      </c>
      <c r="I162" s="8" t="s">
        <v>53</v>
      </c>
      <c r="J162" s="8" t="s">
        <v>46</v>
      </c>
    </row>
    <row r="163" spans="1:10" x14ac:dyDescent="0.25">
      <c r="A163" s="4">
        <v>160</v>
      </c>
      <c r="C163" s="4" t="s">
        <v>10</v>
      </c>
      <c r="H163" s="8" t="s">
        <v>47</v>
      </c>
      <c r="I163" s="8" t="s">
        <v>53</v>
      </c>
      <c r="J163" s="8" t="s">
        <v>46</v>
      </c>
    </row>
    <row r="164" spans="1:10" x14ac:dyDescent="0.25">
      <c r="A164" s="4">
        <v>161</v>
      </c>
      <c r="C164" s="4" t="s">
        <v>10</v>
      </c>
      <c r="H164" s="8" t="s">
        <v>47</v>
      </c>
      <c r="I164" s="8" t="s">
        <v>53</v>
      </c>
      <c r="J164" s="8" t="s">
        <v>46</v>
      </c>
    </row>
    <row r="165" spans="1:10" x14ac:dyDescent="0.25">
      <c r="A165" s="4">
        <v>162</v>
      </c>
      <c r="C165" s="4" t="s">
        <v>10</v>
      </c>
      <c r="H165" s="8" t="s">
        <v>47</v>
      </c>
      <c r="I165" s="8" t="s">
        <v>53</v>
      </c>
      <c r="J165" s="8" t="s">
        <v>46</v>
      </c>
    </row>
    <row r="166" spans="1:10" x14ac:dyDescent="0.25">
      <c r="A166" s="4">
        <v>163</v>
      </c>
      <c r="C166" s="4" t="s">
        <v>10</v>
      </c>
      <c r="H166" s="8" t="s">
        <v>47</v>
      </c>
      <c r="I166" s="8" t="s">
        <v>53</v>
      </c>
      <c r="J166" s="8" t="s">
        <v>46</v>
      </c>
    </row>
    <row r="167" spans="1:10" x14ac:dyDescent="0.25">
      <c r="A167" s="4">
        <v>164</v>
      </c>
      <c r="C167" s="4" t="s">
        <v>10</v>
      </c>
      <c r="H167" s="8" t="s">
        <v>47</v>
      </c>
      <c r="I167" s="8" t="s">
        <v>53</v>
      </c>
      <c r="J167" s="8" t="s">
        <v>46</v>
      </c>
    </row>
    <row r="168" spans="1:10" x14ac:dyDescent="0.25">
      <c r="A168" s="4">
        <v>165</v>
      </c>
      <c r="C168" s="4" t="s">
        <v>14</v>
      </c>
      <c r="H168" s="8" t="s">
        <v>47</v>
      </c>
      <c r="I168" s="8" t="s">
        <v>53</v>
      </c>
      <c r="J168" s="8" t="s">
        <v>46</v>
      </c>
    </row>
    <row r="169" spans="1:10" x14ac:dyDescent="0.25">
      <c r="A169" s="4">
        <v>166</v>
      </c>
      <c r="C169" s="4" t="s">
        <v>14</v>
      </c>
      <c r="H169" s="8" t="s">
        <v>47</v>
      </c>
      <c r="I169" s="8" t="s">
        <v>53</v>
      </c>
      <c r="J169" s="8" t="s">
        <v>46</v>
      </c>
    </row>
    <row r="170" spans="1:10" x14ac:dyDescent="0.25">
      <c r="A170" s="4">
        <v>167</v>
      </c>
      <c r="C170" s="4" t="s">
        <v>14</v>
      </c>
      <c r="H170" s="8" t="s">
        <v>47</v>
      </c>
      <c r="I170" s="8" t="s">
        <v>53</v>
      </c>
      <c r="J170" s="8" t="s">
        <v>46</v>
      </c>
    </row>
    <row r="171" spans="1:10" x14ac:dyDescent="0.25">
      <c r="A171" s="4">
        <v>168</v>
      </c>
      <c r="C171" s="4" t="s">
        <v>1</v>
      </c>
      <c r="H171" s="8" t="s">
        <v>47</v>
      </c>
      <c r="I171" s="8" t="s">
        <v>53</v>
      </c>
      <c r="J171" s="8" t="s">
        <v>46</v>
      </c>
    </row>
    <row r="172" spans="1:10" x14ac:dyDescent="0.25">
      <c r="A172" s="4">
        <v>169</v>
      </c>
      <c r="C172" s="4" t="s">
        <v>1</v>
      </c>
      <c r="H172" s="8" t="s">
        <v>47</v>
      </c>
      <c r="I172" s="8" t="s">
        <v>53</v>
      </c>
      <c r="J172" s="8" t="s">
        <v>46</v>
      </c>
    </row>
    <row r="173" spans="1:10" x14ac:dyDescent="0.25">
      <c r="A173" s="4">
        <v>170</v>
      </c>
      <c r="C173" s="4" t="s">
        <v>1</v>
      </c>
      <c r="H173" s="8" t="s">
        <v>47</v>
      </c>
      <c r="I173" s="8" t="s">
        <v>53</v>
      </c>
      <c r="J173" s="8" t="s">
        <v>46</v>
      </c>
    </row>
    <row r="174" spans="1:10" x14ac:dyDescent="0.25">
      <c r="A174" s="4">
        <v>171</v>
      </c>
      <c r="C174" s="4" t="s">
        <v>1</v>
      </c>
      <c r="H174" s="8" t="s">
        <v>47</v>
      </c>
      <c r="I174" s="8" t="s">
        <v>53</v>
      </c>
      <c r="J174" s="8" t="s">
        <v>46</v>
      </c>
    </row>
    <row r="175" spans="1:10" x14ac:dyDescent="0.25">
      <c r="A175" s="4">
        <v>172</v>
      </c>
      <c r="C175" s="4" t="s">
        <v>1</v>
      </c>
      <c r="H175" s="8" t="s">
        <v>47</v>
      </c>
      <c r="I175" s="8" t="s">
        <v>53</v>
      </c>
      <c r="J175" s="8" t="s">
        <v>46</v>
      </c>
    </row>
    <row r="176" spans="1:10" x14ac:dyDescent="0.25">
      <c r="A176" s="4">
        <v>173</v>
      </c>
      <c r="C176" s="4" t="s">
        <v>1</v>
      </c>
      <c r="H176" s="8" t="s">
        <v>47</v>
      </c>
      <c r="I176" s="8" t="s">
        <v>53</v>
      </c>
      <c r="J176" s="8" t="s">
        <v>46</v>
      </c>
    </row>
    <row r="177" spans="1:10" x14ac:dyDescent="0.25">
      <c r="A177" s="4">
        <v>174</v>
      </c>
      <c r="C177" s="4" t="s">
        <v>1</v>
      </c>
      <c r="H177" s="8" t="s">
        <v>47</v>
      </c>
      <c r="I177" s="8" t="s">
        <v>53</v>
      </c>
      <c r="J177" s="8" t="s">
        <v>46</v>
      </c>
    </row>
    <row r="178" spans="1:10" x14ac:dyDescent="0.25">
      <c r="A178" s="4">
        <v>175</v>
      </c>
      <c r="C178" s="4" t="s">
        <v>1</v>
      </c>
      <c r="H178" s="8" t="s">
        <v>47</v>
      </c>
      <c r="I178" s="8" t="s">
        <v>53</v>
      </c>
      <c r="J178" s="8" t="s">
        <v>46</v>
      </c>
    </row>
    <row r="179" spans="1:10" x14ac:dyDescent="0.25">
      <c r="A179" s="4">
        <v>176</v>
      </c>
      <c r="C179" s="4" t="s">
        <v>1</v>
      </c>
      <c r="H179" s="8" t="s">
        <v>47</v>
      </c>
      <c r="I179" s="8" t="s">
        <v>53</v>
      </c>
      <c r="J179" s="8" t="s">
        <v>46</v>
      </c>
    </row>
    <row r="180" spans="1:10" x14ac:dyDescent="0.25">
      <c r="A180" s="4">
        <v>177</v>
      </c>
      <c r="C180" s="4" t="s">
        <v>1</v>
      </c>
      <c r="H180" s="8" t="s">
        <v>47</v>
      </c>
      <c r="I180" s="8" t="s">
        <v>53</v>
      </c>
      <c r="J180" s="8" t="s">
        <v>46</v>
      </c>
    </row>
    <row r="181" spans="1:10" x14ac:dyDescent="0.25">
      <c r="A181" s="4">
        <v>178</v>
      </c>
      <c r="C181" s="4" t="s">
        <v>1</v>
      </c>
      <c r="H181" s="8" t="s">
        <v>47</v>
      </c>
      <c r="I181" s="8" t="s">
        <v>53</v>
      </c>
      <c r="J181" s="8" t="s">
        <v>46</v>
      </c>
    </row>
    <row r="182" spans="1:10" x14ac:dyDescent="0.25">
      <c r="A182" s="4">
        <v>179</v>
      </c>
      <c r="C182" s="4" t="s">
        <v>1</v>
      </c>
      <c r="H182" s="8" t="s">
        <v>47</v>
      </c>
      <c r="I182" s="8" t="s">
        <v>53</v>
      </c>
      <c r="J182" s="8" t="s">
        <v>46</v>
      </c>
    </row>
    <row r="183" spans="1:10" x14ac:dyDescent="0.25">
      <c r="A183" s="4">
        <v>180</v>
      </c>
      <c r="C183" s="4" t="s">
        <v>1</v>
      </c>
      <c r="H183" s="8" t="s">
        <v>47</v>
      </c>
      <c r="I183" s="8" t="s">
        <v>53</v>
      </c>
      <c r="J183" s="8" t="s">
        <v>46</v>
      </c>
    </row>
    <row r="184" spans="1:10" x14ac:dyDescent="0.25">
      <c r="A184" s="4">
        <v>181</v>
      </c>
      <c r="C184" s="4" t="s">
        <v>1</v>
      </c>
      <c r="H184" s="8" t="s">
        <v>47</v>
      </c>
      <c r="I184" s="8" t="s">
        <v>53</v>
      </c>
      <c r="J184" s="8" t="s">
        <v>46</v>
      </c>
    </row>
    <row r="185" spans="1:10" x14ac:dyDescent="0.25">
      <c r="A185" s="4">
        <v>182</v>
      </c>
      <c r="C185" s="4" t="s">
        <v>1</v>
      </c>
      <c r="H185" s="8" t="s">
        <v>47</v>
      </c>
      <c r="I185" s="8" t="s">
        <v>53</v>
      </c>
      <c r="J185" s="8" t="s">
        <v>46</v>
      </c>
    </row>
    <row r="186" spans="1:10" x14ac:dyDescent="0.25">
      <c r="A186" s="4">
        <v>183</v>
      </c>
      <c r="C186" s="4" t="s">
        <v>1</v>
      </c>
      <c r="H186" s="8" t="s">
        <v>47</v>
      </c>
      <c r="I186" s="8" t="s">
        <v>53</v>
      </c>
      <c r="J186" s="8" t="s">
        <v>46</v>
      </c>
    </row>
    <row r="187" spans="1:10" x14ac:dyDescent="0.25">
      <c r="A187" s="4">
        <v>184</v>
      </c>
      <c r="C187" s="4" t="s">
        <v>1</v>
      </c>
      <c r="H187" s="8" t="s">
        <v>47</v>
      </c>
      <c r="I187" s="8" t="s">
        <v>53</v>
      </c>
      <c r="J187" s="8" t="s">
        <v>46</v>
      </c>
    </row>
    <row r="188" spans="1:10" x14ac:dyDescent="0.25">
      <c r="A188" s="4">
        <v>185</v>
      </c>
      <c r="C188" s="4" t="s">
        <v>1</v>
      </c>
      <c r="H188" s="8" t="s">
        <v>47</v>
      </c>
      <c r="I188" s="8" t="s">
        <v>53</v>
      </c>
      <c r="J188" s="8" t="s">
        <v>46</v>
      </c>
    </row>
    <row r="189" spans="1:10" x14ac:dyDescent="0.25">
      <c r="A189" s="4">
        <v>186</v>
      </c>
      <c r="C189" s="4" t="s">
        <v>1</v>
      </c>
      <c r="H189" s="8" t="s">
        <v>47</v>
      </c>
      <c r="I189" s="8" t="s">
        <v>53</v>
      </c>
      <c r="J189" s="8" t="s">
        <v>46</v>
      </c>
    </row>
    <row r="190" spans="1:10" x14ac:dyDescent="0.25">
      <c r="A190" s="4">
        <v>187</v>
      </c>
      <c r="C190" s="4" t="s">
        <v>1</v>
      </c>
      <c r="H190" s="8" t="s">
        <v>47</v>
      </c>
      <c r="I190" s="8" t="s">
        <v>53</v>
      </c>
      <c r="J190" s="8" t="s">
        <v>46</v>
      </c>
    </row>
    <row r="191" spans="1:10" x14ac:dyDescent="0.25">
      <c r="A191" s="4">
        <v>188</v>
      </c>
      <c r="C191" s="4" t="s">
        <v>1</v>
      </c>
      <c r="H191" s="8" t="s">
        <v>48</v>
      </c>
      <c r="I191" s="8" t="s">
        <v>53</v>
      </c>
      <c r="J191" s="8" t="s">
        <v>46</v>
      </c>
    </row>
    <row r="192" spans="1:10" x14ac:dyDescent="0.25">
      <c r="A192" s="4">
        <v>189</v>
      </c>
      <c r="C192" s="4" t="s">
        <v>1</v>
      </c>
      <c r="H192" s="8" t="s">
        <v>47</v>
      </c>
      <c r="I192" s="8" t="s">
        <v>53</v>
      </c>
      <c r="J192" s="8" t="s">
        <v>46</v>
      </c>
    </row>
    <row r="193" spans="1:10" x14ac:dyDescent="0.25">
      <c r="A193" s="4">
        <v>190</v>
      </c>
      <c r="C193" s="4" t="s">
        <v>1</v>
      </c>
      <c r="H193" s="8" t="s">
        <v>47</v>
      </c>
      <c r="I193" s="8" t="s">
        <v>53</v>
      </c>
      <c r="J193" s="8" t="s">
        <v>46</v>
      </c>
    </row>
    <row r="194" spans="1:10" x14ac:dyDescent="0.25">
      <c r="A194" s="4">
        <v>191</v>
      </c>
      <c r="C194" s="4" t="s">
        <v>1</v>
      </c>
      <c r="H194" s="8" t="s">
        <v>47</v>
      </c>
      <c r="I194" s="8" t="s">
        <v>53</v>
      </c>
      <c r="J194" s="8" t="s">
        <v>46</v>
      </c>
    </row>
    <row r="195" spans="1:10" x14ac:dyDescent="0.25">
      <c r="A195" s="4">
        <v>192</v>
      </c>
      <c r="C195" s="4" t="s">
        <v>1</v>
      </c>
      <c r="H195" s="8" t="s">
        <v>47</v>
      </c>
      <c r="I195" s="8" t="s">
        <v>53</v>
      </c>
      <c r="J195" s="8" t="s">
        <v>46</v>
      </c>
    </row>
    <row r="196" spans="1:10" x14ac:dyDescent="0.25">
      <c r="A196" s="4">
        <v>193</v>
      </c>
      <c r="C196" s="4" t="s">
        <v>1</v>
      </c>
      <c r="H196" s="8" t="s">
        <v>47</v>
      </c>
      <c r="I196" s="8" t="s">
        <v>53</v>
      </c>
      <c r="J196" s="8" t="s">
        <v>46</v>
      </c>
    </row>
    <row r="197" spans="1:10" x14ac:dyDescent="0.25">
      <c r="A197" s="4">
        <v>194</v>
      </c>
      <c r="C197" s="4" t="s">
        <v>1</v>
      </c>
      <c r="H197" s="8" t="s">
        <v>47</v>
      </c>
      <c r="I197" s="8" t="s">
        <v>53</v>
      </c>
      <c r="J197" s="8" t="s">
        <v>46</v>
      </c>
    </row>
    <row r="198" spans="1:10" x14ac:dyDescent="0.25">
      <c r="A198" s="4">
        <v>195</v>
      </c>
      <c r="C198" s="4" t="s">
        <v>1</v>
      </c>
      <c r="H198" s="8" t="s">
        <v>48</v>
      </c>
      <c r="I198" s="8" t="s">
        <v>53</v>
      </c>
      <c r="J198" s="8" t="s">
        <v>46</v>
      </c>
    </row>
    <row r="199" spans="1:10" x14ac:dyDescent="0.25">
      <c r="A199" s="4">
        <v>196</v>
      </c>
      <c r="C199" s="4" t="s">
        <v>11</v>
      </c>
      <c r="H199" s="8" t="s">
        <v>47</v>
      </c>
      <c r="I199" s="8" t="s">
        <v>53</v>
      </c>
      <c r="J199" s="8" t="s">
        <v>46</v>
      </c>
    </row>
    <row r="200" spans="1:10" x14ac:dyDescent="0.25">
      <c r="A200" s="4">
        <v>197</v>
      </c>
      <c r="C200" s="4" t="s">
        <v>11</v>
      </c>
      <c r="H200" s="8" t="s">
        <v>47</v>
      </c>
      <c r="I200" s="8" t="s">
        <v>53</v>
      </c>
      <c r="J200" s="8" t="s">
        <v>46</v>
      </c>
    </row>
    <row r="201" spans="1:10" x14ac:dyDescent="0.25">
      <c r="A201" s="4">
        <v>198</v>
      </c>
      <c r="C201" s="4" t="s">
        <v>11</v>
      </c>
      <c r="H201" s="8" t="s">
        <v>47</v>
      </c>
      <c r="I201" s="8" t="s">
        <v>53</v>
      </c>
      <c r="J201" s="8" t="s">
        <v>46</v>
      </c>
    </row>
    <row r="202" spans="1:10" x14ac:dyDescent="0.25">
      <c r="A202" s="4">
        <v>199</v>
      </c>
      <c r="C202" s="4" t="s">
        <v>11</v>
      </c>
      <c r="H202" s="8" t="s">
        <v>47</v>
      </c>
      <c r="I202" s="8" t="s">
        <v>53</v>
      </c>
      <c r="J202" s="8" t="s">
        <v>46</v>
      </c>
    </row>
    <row r="203" spans="1:10" x14ac:dyDescent="0.25">
      <c r="A203" s="4">
        <v>200</v>
      </c>
      <c r="C203" s="4" t="s">
        <v>11</v>
      </c>
      <c r="H203" s="8" t="s">
        <v>47</v>
      </c>
      <c r="I203" s="8" t="s">
        <v>53</v>
      </c>
      <c r="J203" s="8" t="s">
        <v>46</v>
      </c>
    </row>
    <row r="204" spans="1:10" x14ac:dyDescent="0.25">
      <c r="A204" s="4">
        <v>201</v>
      </c>
      <c r="C204" s="4" t="s">
        <v>11</v>
      </c>
      <c r="H204" s="8" t="s">
        <v>47</v>
      </c>
      <c r="I204" s="8" t="s">
        <v>53</v>
      </c>
      <c r="J204" s="8" t="s">
        <v>46</v>
      </c>
    </row>
    <row r="205" spans="1:10" x14ac:dyDescent="0.25">
      <c r="A205" s="4">
        <v>202</v>
      </c>
      <c r="C205" s="4" t="s">
        <v>11</v>
      </c>
      <c r="H205" s="8" t="s">
        <v>47</v>
      </c>
      <c r="I205" s="8" t="s">
        <v>53</v>
      </c>
      <c r="J205" s="8" t="s">
        <v>46</v>
      </c>
    </row>
    <row r="206" spans="1:10" x14ac:dyDescent="0.25">
      <c r="A206" s="4">
        <v>203</v>
      </c>
      <c r="C206" s="4" t="s">
        <v>11</v>
      </c>
      <c r="H206" s="8" t="s">
        <v>47</v>
      </c>
      <c r="I206" s="8" t="s">
        <v>53</v>
      </c>
      <c r="J206" s="8" t="s">
        <v>46</v>
      </c>
    </row>
    <row r="207" spans="1:10" x14ac:dyDescent="0.25">
      <c r="A207" s="4">
        <v>204</v>
      </c>
      <c r="C207" s="4" t="s">
        <v>11</v>
      </c>
      <c r="H207" s="8" t="s">
        <v>48</v>
      </c>
      <c r="I207" s="8" t="s">
        <v>53</v>
      </c>
      <c r="J207" s="8" t="s">
        <v>46</v>
      </c>
    </row>
    <row r="208" spans="1:10" x14ac:dyDescent="0.25">
      <c r="A208" s="4">
        <v>205</v>
      </c>
      <c r="C208" s="4" t="s">
        <v>11</v>
      </c>
      <c r="H208" s="8" t="s">
        <v>47</v>
      </c>
      <c r="I208" s="8" t="s">
        <v>53</v>
      </c>
      <c r="J208" s="8" t="s">
        <v>46</v>
      </c>
    </row>
    <row r="209" spans="1:10" x14ac:dyDescent="0.25">
      <c r="A209" s="4">
        <v>206</v>
      </c>
      <c r="C209" s="4" t="s">
        <v>11</v>
      </c>
      <c r="H209" s="8" t="s">
        <v>48</v>
      </c>
      <c r="I209" s="8" t="s">
        <v>53</v>
      </c>
      <c r="J209" s="8" t="s">
        <v>46</v>
      </c>
    </row>
    <row r="210" spans="1:10" x14ac:dyDescent="0.25">
      <c r="A210" s="4">
        <v>207</v>
      </c>
      <c r="C210" s="4" t="s">
        <v>11</v>
      </c>
      <c r="H210" s="8" t="s">
        <v>47</v>
      </c>
      <c r="I210" s="8" t="s">
        <v>53</v>
      </c>
      <c r="J210" s="8" t="s">
        <v>46</v>
      </c>
    </row>
    <row r="211" spans="1:10" x14ac:dyDescent="0.25">
      <c r="A211" s="4">
        <v>208</v>
      </c>
      <c r="C211" s="4" t="s">
        <v>11</v>
      </c>
      <c r="H211" s="8" t="s">
        <v>47</v>
      </c>
      <c r="I211" s="8" t="s">
        <v>53</v>
      </c>
      <c r="J211" s="8" t="s">
        <v>46</v>
      </c>
    </row>
    <row r="212" spans="1:10" x14ac:dyDescent="0.25">
      <c r="A212" s="4">
        <v>209</v>
      </c>
      <c r="C212" s="4" t="s">
        <v>11</v>
      </c>
      <c r="H212" s="8" t="s">
        <v>47</v>
      </c>
      <c r="I212" s="8" t="s">
        <v>53</v>
      </c>
      <c r="J212" s="8" t="s">
        <v>46</v>
      </c>
    </row>
    <row r="213" spans="1:10" x14ac:dyDescent="0.25">
      <c r="A213" s="4">
        <v>210</v>
      </c>
      <c r="C213" s="4" t="s">
        <v>11</v>
      </c>
      <c r="H213" s="8" t="s">
        <v>47</v>
      </c>
      <c r="I213" s="8" t="s">
        <v>53</v>
      </c>
      <c r="J213" s="8" t="s">
        <v>46</v>
      </c>
    </row>
    <row r="214" spans="1:10" x14ac:dyDescent="0.25">
      <c r="A214" s="4">
        <v>211</v>
      </c>
      <c r="C214" s="4" t="s">
        <v>11</v>
      </c>
      <c r="H214" s="8" t="s">
        <v>47</v>
      </c>
      <c r="I214" s="8" t="s">
        <v>53</v>
      </c>
      <c r="J214" s="8" t="s">
        <v>46</v>
      </c>
    </row>
    <row r="215" spans="1:10" x14ac:dyDescent="0.25">
      <c r="A215" s="4">
        <v>212</v>
      </c>
      <c r="C215" s="4" t="s">
        <v>11</v>
      </c>
      <c r="H215" s="8" t="s">
        <v>47</v>
      </c>
      <c r="I215" s="8" t="s">
        <v>53</v>
      </c>
      <c r="J215" s="8" t="s">
        <v>46</v>
      </c>
    </row>
    <row r="216" spans="1:10" x14ac:dyDescent="0.25">
      <c r="A216" s="4">
        <v>213</v>
      </c>
      <c r="C216" s="4" t="s">
        <v>11</v>
      </c>
      <c r="H216" s="8" t="s">
        <v>47</v>
      </c>
      <c r="I216" s="8" t="s">
        <v>53</v>
      </c>
      <c r="J216" s="8" t="s">
        <v>46</v>
      </c>
    </row>
    <row r="217" spans="1:10" x14ac:dyDescent="0.25">
      <c r="A217" s="4">
        <v>214</v>
      </c>
      <c r="C217" s="4" t="s">
        <v>11</v>
      </c>
      <c r="H217" s="8" t="s">
        <v>47</v>
      </c>
      <c r="I217" s="8" t="s">
        <v>53</v>
      </c>
      <c r="J217" s="8" t="s">
        <v>46</v>
      </c>
    </row>
    <row r="218" spans="1:10" x14ac:dyDescent="0.25">
      <c r="A218" s="4">
        <v>215</v>
      </c>
      <c r="C218" s="4" t="s">
        <v>11</v>
      </c>
      <c r="H218" s="8" t="s">
        <v>47</v>
      </c>
      <c r="I218" s="8" t="s">
        <v>53</v>
      </c>
      <c r="J218" s="8" t="s">
        <v>46</v>
      </c>
    </row>
    <row r="219" spans="1:10" x14ac:dyDescent="0.25">
      <c r="A219" s="4">
        <v>216</v>
      </c>
      <c r="C219" s="4" t="s">
        <v>11</v>
      </c>
      <c r="H219" s="8" t="s">
        <v>47</v>
      </c>
      <c r="I219" s="8" t="s">
        <v>53</v>
      </c>
      <c r="J219" s="8" t="s">
        <v>46</v>
      </c>
    </row>
    <row r="220" spans="1:10" x14ac:dyDescent="0.25">
      <c r="A220" s="4">
        <v>217</v>
      </c>
      <c r="C220" s="4" t="s">
        <v>11</v>
      </c>
      <c r="H220" s="8" t="s">
        <v>47</v>
      </c>
      <c r="I220" s="8" t="s">
        <v>53</v>
      </c>
      <c r="J220" s="8" t="s">
        <v>46</v>
      </c>
    </row>
    <row r="221" spans="1:10" x14ac:dyDescent="0.25">
      <c r="A221" s="4">
        <v>218</v>
      </c>
      <c r="C221" s="4" t="s">
        <v>11</v>
      </c>
      <c r="H221" s="8" t="s">
        <v>47</v>
      </c>
      <c r="I221" s="8" t="s">
        <v>53</v>
      </c>
      <c r="J221" s="8" t="s">
        <v>46</v>
      </c>
    </row>
    <row r="222" spans="1:10" x14ac:dyDescent="0.25">
      <c r="A222" s="4">
        <v>219</v>
      </c>
      <c r="C222" s="4" t="s">
        <v>11</v>
      </c>
      <c r="H222" s="8" t="s">
        <v>47</v>
      </c>
      <c r="I222" s="8" t="s">
        <v>53</v>
      </c>
      <c r="J222" s="8" t="s">
        <v>46</v>
      </c>
    </row>
    <row r="223" spans="1:10" x14ac:dyDescent="0.25">
      <c r="A223" s="4">
        <v>220</v>
      </c>
      <c r="C223" s="4" t="s">
        <v>11</v>
      </c>
      <c r="H223" s="8" t="s">
        <v>47</v>
      </c>
      <c r="I223" s="8" t="s">
        <v>53</v>
      </c>
      <c r="J223" s="8" t="s">
        <v>46</v>
      </c>
    </row>
    <row r="224" spans="1:10" x14ac:dyDescent="0.25">
      <c r="A224" s="4">
        <v>221</v>
      </c>
      <c r="C224" s="4" t="s">
        <v>11</v>
      </c>
      <c r="H224" s="8" t="s">
        <v>47</v>
      </c>
      <c r="I224" s="8" t="s">
        <v>53</v>
      </c>
      <c r="J224" s="8" t="s">
        <v>46</v>
      </c>
    </row>
    <row r="225" spans="1:10" x14ac:dyDescent="0.25">
      <c r="A225" s="4">
        <v>222</v>
      </c>
      <c r="C225" s="4" t="s">
        <v>11</v>
      </c>
      <c r="H225" s="8" t="s">
        <v>47</v>
      </c>
      <c r="I225" s="8" t="s">
        <v>53</v>
      </c>
      <c r="J225" s="8" t="s">
        <v>46</v>
      </c>
    </row>
    <row r="226" spans="1:10" x14ac:dyDescent="0.25">
      <c r="A226" s="4">
        <v>223</v>
      </c>
      <c r="C226" s="4" t="s">
        <v>11</v>
      </c>
      <c r="H226" s="8" t="s">
        <v>47</v>
      </c>
      <c r="I226" s="8" t="s">
        <v>53</v>
      </c>
      <c r="J226" s="8" t="s">
        <v>46</v>
      </c>
    </row>
    <row r="227" spans="1:10" x14ac:dyDescent="0.25">
      <c r="A227" s="4">
        <v>224</v>
      </c>
      <c r="C227" s="4" t="s">
        <v>11</v>
      </c>
      <c r="H227" s="8" t="s">
        <v>47</v>
      </c>
      <c r="I227" s="8" t="s">
        <v>53</v>
      </c>
      <c r="J227" s="8" t="s">
        <v>46</v>
      </c>
    </row>
    <row r="228" spans="1:10" x14ac:dyDescent="0.25">
      <c r="A228" s="4">
        <v>225</v>
      </c>
      <c r="C228" s="4" t="s">
        <v>2</v>
      </c>
      <c r="H228" s="8" t="s">
        <v>47</v>
      </c>
      <c r="I228" s="8" t="s">
        <v>53</v>
      </c>
      <c r="J228" s="8" t="s">
        <v>46</v>
      </c>
    </row>
    <row r="229" spans="1:10" x14ac:dyDescent="0.25">
      <c r="A229" s="4">
        <v>226</v>
      </c>
      <c r="C229" s="4" t="s">
        <v>2</v>
      </c>
      <c r="H229" s="8" t="s">
        <v>47</v>
      </c>
      <c r="I229" s="8" t="s">
        <v>53</v>
      </c>
      <c r="J229" s="8" t="s">
        <v>46</v>
      </c>
    </row>
    <row r="230" spans="1:10" x14ac:dyDescent="0.25">
      <c r="A230" s="4">
        <v>227</v>
      </c>
      <c r="C230" s="4" t="s">
        <v>2</v>
      </c>
      <c r="H230" s="8" t="s">
        <v>47</v>
      </c>
      <c r="I230" s="8" t="s">
        <v>53</v>
      </c>
      <c r="J230" s="8" t="s">
        <v>46</v>
      </c>
    </row>
    <row r="231" spans="1:10" x14ac:dyDescent="0.25">
      <c r="A231" s="4">
        <v>228</v>
      </c>
      <c r="C231" s="4" t="s">
        <v>2</v>
      </c>
      <c r="H231" s="8" t="s">
        <v>47</v>
      </c>
      <c r="I231" s="8" t="s">
        <v>53</v>
      </c>
      <c r="J231" s="8" t="s">
        <v>46</v>
      </c>
    </row>
    <row r="232" spans="1:10" x14ac:dyDescent="0.25">
      <c r="A232" s="4">
        <v>229</v>
      </c>
      <c r="C232" s="4" t="s">
        <v>2</v>
      </c>
      <c r="H232" s="8" t="s">
        <v>47</v>
      </c>
      <c r="I232" s="8" t="s">
        <v>53</v>
      </c>
      <c r="J232" s="8" t="s">
        <v>46</v>
      </c>
    </row>
    <row r="233" spans="1:10" x14ac:dyDescent="0.25">
      <c r="A233" s="4">
        <v>230</v>
      </c>
      <c r="C233" s="4" t="s">
        <v>2</v>
      </c>
      <c r="H233" s="8" t="s">
        <v>47</v>
      </c>
      <c r="I233" s="8" t="s">
        <v>53</v>
      </c>
      <c r="J233" s="8" t="s">
        <v>46</v>
      </c>
    </row>
    <row r="234" spans="1:10" x14ac:dyDescent="0.25">
      <c r="A234" s="4">
        <v>231</v>
      </c>
      <c r="C234" s="4" t="s">
        <v>2</v>
      </c>
      <c r="H234" s="8" t="s">
        <v>47</v>
      </c>
      <c r="I234" s="8" t="s">
        <v>53</v>
      </c>
      <c r="J234" s="8" t="s">
        <v>46</v>
      </c>
    </row>
    <row r="235" spans="1:10" x14ac:dyDescent="0.25">
      <c r="A235" s="4">
        <v>232</v>
      </c>
      <c r="C235" s="4" t="s">
        <v>2</v>
      </c>
      <c r="H235" s="8" t="s">
        <v>47</v>
      </c>
      <c r="I235" s="8" t="s">
        <v>53</v>
      </c>
      <c r="J235" s="8" t="s">
        <v>46</v>
      </c>
    </row>
    <row r="236" spans="1:10" x14ac:dyDescent="0.25">
      <c r="A236" s="4">
        <v>233</v>
      </c>
      <c r="C236" s="4" t="s">
        <v>2</v>
      </c>
      <c r="H236" s="8" t="s">
        <v>47</v>
      </c>
      <c r="I236" s="8" t="s">
        <v>53</v>
      </c>
      <c r="J236" s="8" t="s">
        <v>46</v>
      </c>
    </row>
    <row r="237" spans="1:10" x14ac:dyDescent="0.25">
      <c r="A237" s="4">
        <v>234</v>
      </c>
      <c r="C237" s="4" t="s">
        <v>2</v>
      </c>
      <c r="H237" s="8" t="s">
        <v>47</v>
      </c>
      <c r="I237" s="8" t="s">
        <v>53</v>
      </c>
      <c r="J237" s="8" t="s">
        <v>46</v>
      </c>
    </row>
    <row r="238" spans="1:10" x14ac:dyDescent="0.25">
      <c r="A238" s="4">
        <v>235</v>
      </c>
      <c r="C238" s="4" t="s">
        <v>2</v>
      </c>
      <c r="H238" s="8" t="s">
        <v>47</v>
      </c>
      <c r="I238" s="8" t="s">
        <v>53</v>
      </c>
      <c r="J238" s="8" t="s">
        <v>46</v>
      </c>
    </row>
    <row r="239" spans="1:10" x14ac:dyDescent="0.25">
      <c r="A239" s="4">
        <v>236</v>
      </c>
      <c r="C239" s="4" t="s">
        <v>2</v>
      </c>
      <c r="H239" s="8" t="s">
        <v>47</v>
      </c>
      <c r="I239" s="8" t="s">
        <v>53</v>
      </c>
      <c r="J239" s="8" t="s">
        <v>46</v>
      </c>
    </row>
    <row r="240" spans="1:10" x14ac:dyDescent="0.25">
      <c r="A240" s="4">
        <v>237</v>
      </c>
      <c r="C240" s="4" t="s">
        <v>2</v>
      </c>
      <c r="H240" s="8" t="s">
        <v>47</v>
      </c>
      <c r="I240" s="8" t="s">
        <v>53</v>
      </c>
      <c r="J240" s="8" t="s">
        <v>46</v>
      </c>
    </row>
    <row r="241" spans="1:10" x14ac:dyDescent="0.25">
      <c r="A241" s="4">
        <v>238</v>
      </c>
      <c r="C241" s="4" t="s">
        <v>2</v>
      </c>
      <c r="H241" s="8" t="s">
        <v>47</v>
      </c>
      <c r="I241" s="8" t="s">
        <v>53</v>
      </c>
      <c r="J241" s="8" t="s">
        <v>46</v>
      </c>
    </row>
    <row r="242" spans="1:10" x14ac:dyDescent="0.25">
      <c r="A242" s="4">
        <v>239</v>
      </c>
      <c r="C242" s="4" t="s">
        <v>2</v>
      </c>
      <c r="H242" s="8" t="s">
        <v>47</v>
      </c>
      <c r="I242" s="8" t="s">
        <v>53</v>
      </c>
      <c r="J242" s="8" t="s">
        <v>46</v>
      </c>
    </row>
    <row r="243" spans="1:10" x14ac:dyDescent="0.25">
      <c r="A243" s="4">
        <v>240</v>
      </c>
      <c r="C243" s="4" t="s">
        <v>2</v>
      </c>
      <c r="H243" s="8" t="s">
        <v>47</v>
      </c>
      <c r="I243" s="8" t="s">
        <v>53</v>
      </c>
      <c r="J243" s="8" t="s">
        <v>46</v>
      </c>
    </row>
    <row r="244" spans="1:10" x14ac:dyDescent="0.25">
      <c r="A244" s="4">
        <v>241</v>
      </c>
      <c r="C244" s="4" t="s">
        <v>2</v>
      </c>
      <c r="H244" s="8" t="s">
        <v>47</v>
      </c>
      <c r="I244" s="8" t="s">
        <v>53</v>
      </c>
      <c r="J244" s="8" t="s">
        <v>46</v>
      </c>
    </row>
    <row r="245" spans="1:10" x14ac:dyDescent="0.25">
      <c r="A245" s="4">
        <v>242</v>
      </c>
      <c r="C245" s="4" t="s">
        <v>2</v>
      </c>
      <c r="H245" s="8" t="s">
        <v>47</v>
      </c>
      <c r="I245" s="8" t="s">
        <v>53</v>
      </c>
      <c r="J245" s="8" t="s">
        <v>46</v>
      </c>
    </row>
    <row r="246" spans="1:10" x14ac:dyDescent="0.25">
      <c r="A246" s="4">
        <v>243</v>
      </c>
      <c r="C246" s="4" t="s">
        <v>2</v>
      </c>
      <c r="H246" s="8" t="s">
        <v>47</v>
      </c>
      <c r="I246" s="8" t="s">
        <v>53</v>
      </c>
      <c r="J246" s="8" t="s">
        <v>46</v>
      </c>
    </row>
    <row r="247" spans="1:10" x14ac:dyDescent="0.25">
      <c r="A247" s="4">
        <v>244</v>
      </c>
      <c r="C247" s="4" t="s">
        <v>2</v>
      </c>
      <c r="H247" s="8" t="s">
        <v>47</v>
      </c>
      <c r="I247" s="8" t="s">
        <v>53</v>
      </c>
      <c r="J247" s="8" t="s">
        <v>46</v>
      </c>
    </row>
    <row r="248" spans="1:10" x14ac:dyDescent="0.25">
      <c r="A248" s="4">
        <v>245</v>
      </c>
      <c r="C248" s="4" t="s">
        <v>2</v>
      </c>
      <c r="H248" s="8" t="s">
        <v>47</v>
      </c>
      <c r="I248" s="8" t="s">
        <v>53</v>
      </c>
      <c r="J248" s="8" t="s">
        <v>46</v>
      </c>
    </row>
    <row r="249" spans="1:10" x14ac:dyDescent="0.25">
      <c r="A249" s="4">
        <v>246</v>
      </c>
      <c r="C249" s="4" t="s">
        <v>2</v>
      </c>
      <c r="H249" s="8" t="s">
        <v>47</v>
      </c>
      <c r="I249" s="8" t="s">
        <v>53</v>
      </c>
      <c r="J249" s="8" t="s">
        <v>46</v>
      </c>
    </row>
    <row r="250" spans="1:10" x14ac:dyDescent="0.25">
      <c r="A250" s="4">
        <v>247</v>
      </c>
      <c r="C250" s="4" t="s">
        <v>2</v>
      </c>
      <c r="H250" s="8" t="s">
        <v>47</v>
      </c>
      <c r="I250" s="8" t="s">
        <v>53</v>
      </c>
      <c r="J250" s="8" t="s">
        <v>46</v>
      </c>
    </row>
    <row r="251" spans="1:10" x14ac:dyDescent="0.25">
      <c r="A251" s="4">
        <v>248</v>
      </c>
      <c r="C251" s="4" t="s">
        <v>2</v>
      </c>
      <c r="H251" s="8" t="s">
        <v>47</v>
      </c>
      <c r="I251" s="8" t="s">
        <v>53</v>
      </c>
      <c r="J251" s="8" t="s">
        <v>46</v>
      </c>
    </row>
    <row r="252" spans="1:10" x14ac:dyDescent="0.25">
      <c r="A252" s="4">
        <v>249</v>
      </c>
      <c r="C252" s="4" t="s">
        <v>2</v>
      </c>
      <c r="H252" s="8" t="s">
        <v>47</v>
      </c>
      <c r="I252" s="8" t="s">
        <v>53</v>
      </c>
      <c r="J252" s="8" t="s">
        <v>46</v>
      </c>
    </row>
    <row r="253" spans="1:10" x14ac:dyDescent="0.25">
      <c r="A253" s="4">
        <v>250</v>
      </c>
      <c r="C253" s="4" t="s">
        <v>2</v>
      </c>
      <c r="H253" s="8" t="s">
        <v>47</v>
      </c>
      <c r="I253" s="8" t="s">
        <v>53</v>
      </c>
      <c r="J253" s="8" t="s">
        <v>46</v>
      </c>
    </row>
    <row r="254" spans="1:10" x14ac:dyDescent="0.25">
      <c r="A254" s="4">
        <v>251</v>
      </c>
      <c r="C254" s="4" t="s">
        <v>2</v>
      </c>
      <c r="H254" s="8" t="s">
        <v>47</v>
      </c>
      <c r="I254" s="8" t="s">
        <v>53</v>
      </c>
      <c r="J254" s="8" t="s">
        <v>46</v>
      </c>
    </row>
    <row r="255" spans="1:10" x14ac:dyDescent="0.25">
      <c r="A255" s="4">
        <v>252</v>
      </c>
      <c r="C255" s="4" t="s">
        <v>2</v>
      </c>
      <c r="H255" s="8" t="s">
        <v>47</v>
      </c>
      <c r="I255" s="8" t="s">
        <v>53</v>
      </c>
      <c r="J255" s="8" t="s">
        <v>46</v>
      </c>
    </row>
    <row r="256" spans="1:10" x14ac:dyDescent="0.25">
      <c r="A256" s="4">
        <v>253</v>
      </c>
      <c r="C256" s="4" t="s">
        <v>12</v>
      </c>
      <c r="H256" s="8" t="s">
        <v>47</v>
      </c>
      <c r="I256" s="8" t="s">
        <v>53</v>
      </c>
      <c r="J256" s="8" t="s">
        <v>46</v>
      </c>
    </row>
    <row r="257" spans="1:10" x14ac:dyDescent="0.25">
      <c r="A257" s="4">
        <v>254</v>
      </c>
      <c r="C257" s="4" t="s">
        <v>15</v>
      </c>
      <c r="H257" s="8" t="s">
        <v>47</v>
      </c>
      <c r="I257" s="8" t="s">
        <v>53</v>
      </c>
      <c r="J257" s="8" t="s">
        <v>46</v>
      </c>
    </row>
    <row r="258" spans="1:10" x14ac:dyDescent="0.25">
      <c r="A258" s="4">
        <v>255</v>
      </c>
      <c r="C258" s="4" t="s">
        <v>15</v>
      </c>
      <c r="H258" s="8" t="s">
        <v>47</v>
      </c>
      <c r="I258" s="8" t="s">
        <v>53</v>
      </c>
      <c r="J258" s="8" t="s">
        <v>46</v>
      </c>
    </row>
    <row r="259" spans="1:10" x14ac:dyDescent="0.25">
      <c r="A259" s="4">
        <v>256</v>
      </c>
      <c r="C259" s="4" t="s">
        <v>13</v>
      </c>
      <c r="H259" s="8" t="s">
        <v>47</v>
      </c>
      <c r="I259" s="8" t="s">
        <v>53</v>
      </c>
      <c r="J259" s="8" t="s">
        <v>46</v>
      </c>
    </row>
    <row r="260" spans="1:10" x14ac:dyDescent="0.25">
      <c r="A260" s="4">
        <v>257</v>
      </c>
      <c r="C260" s="4" t="s">
        <v>13</v>
      </c>
      <c r="H260" s="8" t="s">
        <v>47</v>
      </c>
      <c r="I260" s="8" t="s">
        <v>53</v>
      </c>
      <c r="J260" s="8" t="s">
        <v>46</v>
      </c>
    </row>
    <row r="261" spans="1:10" x14ac:dyDescent="0.25">
      <c r="A261" s="4">
        <v>258</v>
      </c>
      <c r="C261" s="4" t="s">
        <v>49</v>
      </c>
      <c r="H261" s="8" t="s">
        <v>47</v>
      </c>
      <c r="I261" s="8" t="s">
        <v>53</v>
      </c>
      <c r="J261" s="8" t="s">
        <v>46</v>
      </c>
    </row>
    <row r="262" spans="1:10" x14ac:dyDescent="0.25">
      <c r="A262" s="4">
        <v>259</v>
      </c>
      <c r="C262" s="4" t="s">
        <v>50</v>
      </c>
      <c r="H262" s="8" t="s">
        <v>47</v>
      </c>
      <c r="I262" s="8" t="s">
        <v>53</v>
      </c>
      <c r="J262" s="8" t="s">
        <v>46</v>
      </c>
    </row>
  </sheetData>
  <sortState ref="D2:J8">
    <sortCondition ref="D2:D60"/>
  </sortState>
  <dataValidations count="1">
    <dataValidation type="list" allowBlank="1" sqref="G1:J1 H24:J60 G2:G18 H3:J18 S2:S6 G20:J22 G24:G1048576">
      <formula1>$S$2:$S$7</formula1>
    </dataValidation>
  </dataValidations>
  <pageMargins left="0.7" right="0.7" top="0.75" bottom="0.75" header="0.3" footer="0.3"/>
  <pageSetup orientation="portrait" r:id="rId1"/>
  <ignoredErrors>
    <ignoredError sqref="M10:N12 M14:Q58 M13:N13 P13:Q13 M2:N9 P2:Q9 P10:Q12" evalError="1"/>
  </ignoredErrors>
  <drawing r:id="rId2"/>
  <legacyDrawing r:id="rId3"/>
  <controls>
    <mc:AlternateContent xmlns:mc="http://schemas.openxmlformats.org/markup-compatibility/2006">
      <mc:Choice Requires="x14">
        <control shapeId="19462" r:id="rId4" name="CommandButton5">
          <controlPr defaultSize="0" autoLine="0" r:id="rId5">
            <anchor moveWithCells="1" sizeWithCells="1">
              <from>
                <xdr:col>6</xdr:col>
                <xdr:colOff>1543050</xdr:colOff>
                <xdr:row>0</xdr:row>
                <xdr:rowOff>47625</xdr:rowOff>
              </from>
              <to>
                <xdr:col>6</xdr:col>
                <xdr:colOff>2124075</xdr:colOff>
                <xdr:row>0</xdr:row>
                <xdr:rowOff>400050</xdr:rowOff>
              </to>
            </anchor>
          </controlPr>
        </control>
      </mc:Choice>
      <mc:Fallback>
        <control shapeId="19462" r:id="rId4" name="CommandButton5"/>
      </mc:Fallback>
    </mc:AlternateContent>
    <mc:AlternateContent xmlns:mc="http://schemas.openxmlformats.org/markup-compatibility/2006">
      <mc:Choice Requires="x14">
        <control shapeId="19461" r:id="rId6" name="CommandButton6">
          <controlPr defaultSize="0" autoLine="0" r:id="rId7">
            <anchor moveWithCells="1">
              <from>
                <xdr:col>3</xdr:col>
                <xdr:colOff>38100</xdr:colOff>
                <xdr:row>0</xdr:row>
                <xdr:rowOff>47625</xdr:rowOff>
              </from>
              <to>
                <xdr:col>3</xdr:col>
                <xdr:colOff>514350</xdr:colOff>
                <xdr:row>0</xdr:row>
                <xdr:rowOff>400050</xdr:rowOff>
              </to>
            </anchor>
          </controlPr>
        </control>
      </mc:Choice>
      <mc:Fallback>
        <control shapeId="19461" r:id="rId6" name="CommandButton6"/>
      </mc:Fallback>
    </mc:AlternateContent>
    <mc:AlternateContent xmlns:mc="http://schemas.openxmlformats.org/markup-compatibility/2006">
      <mc:Choice Requires="x14">
        <control shapeId="19460" r:id="rId8" name="CommandButton4">
          <controlPr defaultSize="0" autoLine="0" r:id="rId9">
            <anchor moveWithCells="1" sizeWithCells="1">
              <from>
                <xdr:col>6</xdr:col>
                <xdr:colOff>1152525</xdr:colOff>
                <xdr:row>0</xdr:row>
                <xdr:rowOff>47625</xdr:rowOff>
              </from>
              <to>
                <xdr:col>6</xdr:col>
                <xdr:colOff>1514475</xdr:colOff>
                <xdr:row>0</xdr:row>
                <xdr:rowOff>400050</xdr:rowOff>
              </to>
            </anchor>
          </controlPr>
        </control>
      </mc:Choice>
      <mc:Fallback>
        <control shapeId="19460" r:id="rId8" name="CommandButton4"/>
      </mc:Fallback>
    </mc:AlternateContent>
    <mc:AlternateContent xmlns:mc="http://schemas.openxmlformats.org/markup-compatibility/2006">
      <mc:Choice Requires="x14">
        <control shapeId="19459" r:id="rId10" name="CommandButton3">
          <controlPr defaultSize="0" autoLine="0" r:id="rId11">
            <anchor moveWithCells="1" sizeWithCells="1">
              <from>
                <xdr:col>6</xdr:col>
                <xdr:colOff>771525</xdr:colOff>
                <xdr:row>0</xdr:row>
                <xdr:rowOff>47625</xdr:rowOff>
              </from>
              <to>
                <xdr:col>6</xdr:col>
                <xdr:colOff>1133475</xdr:colOff>
                <xdr:row>0</xdr:row>
                <xdr:rowOff>400050</xdr:rowOff>
              </to>
            </anchor>
          </controlPr>
        </control>
      </mc:Choice>
      <mc:Fallback>
        <control shapeId="19459" r:id="rId10" name="CommandButton3"/>
      </mc:Fallback>
    </mc:AlternateContent>
    <mc:AlternateContent xmlns:mc="http://schemas.openxmlformats.org/markup-compatibility/2006">
      <mc:Choice Requires="x14">
        <control shapeId="19458" r:id="rId12" name="CommandButton2">
          <controlPr defaultSize="0" autoLine="0" r:id="rId13">
            <anchor moveWithCells="1">
              <from>
                <xdr:col>11</xdr:col>
                <xdr:colOff>57150</xdr:colOff>
                <xdr:row>0</xdr:row>
                <xdr:rowOff>38100</xdr:rowOff>
              </from>
              <to>
                <xdr:col>11</xdr:col>
                <xdr:colOff>2981325</xdr:colOff>
                <xdr:row>0</xdr:row>
                <xdr:rowOff>390525</xdr:rowOff>
              </to>
            </anchor>
          </controlPr>
        </control>
      </mc:Choice>
      <mc:Fallback>
        <control shapeId="19458" r:id="rId12" name="CommandButton2"/>
      </mc:Fallback>
    </mc:AlternateContent>
    <mc:AlternateContent xmlns:mc="http://schemas.openxmlformats.org/markup-compatibility/2006">
      <mc:Choice Requires="x14">
        <control shapeId="19457" r:id="rId14" name="CommandButton1">
          <controlPr defaultSize="0" autoLine="0" r:id="rId15">
            <anchor moveWithCells="1">
              <from>
                <xdr:col>6</xdr:col>
                <xdr:colOff>276225</xdr:colOff>
                <xdr:row>0</xdr:row>
                <xdr:rowOff>47625</xdr:rowOff>
              </from>
              <to>
                <xdr:col>6</xdr:col>
                <xdr:colOff>752475</xdr:colOff>
                <xdr:row>0</xdr:row>
                <xdr:rowOff>400050</xdr:rowOff>
              </to>
            </anchor>
          </controlPr>
        </control>
      </mc:Choice>
      <mc:Fallback>
        <control shapeId="19457" r:id="rId14" name="CommandButton1"/>
      </mc:Fallback>
    </mc:AlternateContent>
    <mc:AlternateContent xmlns:mc="http://schemas.openxmlformats.org/markup-compatibility/2006">
      <mc:Choice Requires="x14">
        <control shapeId="19467" r:id="rId16" name="CommandButton7">
          <controlPr defaultSize="0" autoLine="0" r:id="rId17">
            <anchor moveWithCells="1">
              <from>
                <xdr:col>3</xdr:col>
                <xdr:colOff>533400</xdr:colOff>
                <xdr:row>0</xdr:row>
                <xdr:rowOff>47625</xdr:rowOff>
              </from>
              <to>
                <xdr:col>6</xdr:col>
                <xdr:colOff>257175</xdr:colOff>
                <xdr:row>0</xdr:row>
                <xdr:rowOff>400050</xdr:rowOff>
              </to>
            </anchor>
          </controlPr>
        </control>
      </mc:Choice>
      <mc:Fallback>
        <control shapeId="19467" r:id="rId1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0"/>
  <sheetViews>
    <sheetView zoomScaleNormal="100" workbookViewId="0">
      <selection sqref="A1:J1048576"/>
    </sheetView>
  </sheetViews>
  <sheetFormatPr defaultRowHeight="15" x14ac:dyDescent="0.25"/>
  <cols>
    <col min="1" max="1" width="44.85546875" style="20" customWidth="1"/>
    <col min="2" max="2" width="11.85546875" style="20" bestFit="1" customWidth="1"/>
    <col min="3" max="3" width="6.7109375" style="20" bestFit="1" customWidth="1"/>
    <col min="4" max="4" width="17" style="20" bestFit="1" customWidth="1"/>
    <col min="5" max="5" width="25" style="20" bestFit="1" customWidth="1"/>
    <col min="6" max="6" width="52.28515625" style="20" customWidth="1"/>
    <col min="7" max="11" width="9.140625" style="20"/>
    <col min="12" max="12" width="37.140625" style="49" customWidth="1"/>
    <col min="13" max="13" width="72.7109375" style="49" customWidth="1"/>
    <col min="14" max="16384" width="9.140625" style="20"/>
  </cols>
  <sheetData>
    <row r="1" spans="1:13" ht="17.25" x14ac:dyDescent="0.25">
      <c r="A1" s="13"/>
      <c r="B1" s="14"/>
      <c r="C1" s="15"/>
      <c r="D1" s="15"/>
      <c r="E1" s="16"/>
      <c r="F1" s="17"/>
      <c r="G1" s="18"/>
      <c r="H1" s="19"/>
      <c r="I1" s="13"/>
      <c r="J1" s="13"/>
      <c r="L1" s="48">
        <f>IF(D1="0","",D1)</f>
        <v>0</v>
      </c>
      <c r="M1" s="49">
        <f t="shared" ref="M1:M46" si="0">IF(G1="Offline","Offline",IF(F1="Printer:  OK",F2,F1))</f>
        <v>0</v>
      </c>
    </row>
    <row r="2" spans="1:13" ht="18" thickBot="1" x14ac:dyDescent="0.3">
      <c r="A2" s="21"/>
      <c r="B2" s="22"/>
      <c r="C2" s="23"/>
      <c r="D2" s="23"/>
      <c r="E2" s="24"/>
      <c r="F2" s="25"/>
      <c r="G2" s="26"/>
      <c r="H2" s="27"/>
      <c r="I2" s="21"/>
      <c r="J2" s="21"/>
      <c r="L2" s="48">
        <f>IF(D2="0","",D2)</f>
        <v>0</v>
      </c>
      <c r="M2" s="49">
        <f t="shared" si="0"/>
        <v>0</v>
      </c>
    </row>
    <row r="3" spans="1:13" ht="17.25" x14ac:dyDescent="0.25">
      <c r="A3" s="28"/>
      <c r="B3" s="29"/>
      <c r="C3" s="30"/>
      <c r="D3" s="30"/>
      <c r="E3" s="16"/>
      <c r="F3" s="17"/>
      <c r="G3" s="31"/>
      <c r="H3" s="32"/>
      <c r="I3" s="28"/>
      <c r="J3" s="28"/>
      <c r="L3" s="49">
        <f t="shared" ref="L3:L46" si="1">D3</f>
        <v>0</v>
      </c>
      <c r="M3" s="49">
        <f t="shared" si="0"/>
        <v>0</v>
      </c>
    </row>
    <row r="4" spans="1:13" ht="18" thickBot="1" x14ac:dyDescent="0.3">
      <c r="A4" s="21"/>
      <c r="B4" s="22"/>
      <c r="C4" s="23"/>
      <c r="D4" s="23"/>
      <c r="E4" s="24"/>
      <c r="F4" s="25"/>
      <c r="G4" s="26"/>
      <c r="H4" s="27"/>
      <c r="I4" s="21"/>
      <c r="J4" s="21"/>
      <c r="L4" s="49">
        <f t="shared" si="1"/>
        <v>0</v>
      </c>
      <c r="M4" s="49">
        <f t="shared" si="0"/>
        <v>0</v>
      </c>
    </row>
    <row r="5" spans="1:13" ht="17.25" x14ac:dyDescent="0.25">
      <c r="A5" s="28"/>
      <c r="B5" s="29"/>
      <c r="C5" s="30"/>
      <c r="D5" s="30"/>
      <c r="E5" s="16"/>
      <c r="F5" s="17"/>
      <c r="G5" s="31"/>
      <c r="H5" s="32"/>
      <c r="I5" s="28"/>
      <c r="J5" s="28"/>
      <c r="L5" s="49">
        <f t="shared" si="1"/>
        <v>0</v>
      </c>
      <c r="M5" s="49">
        <f t="shared" si="0"/>
        <v>0</v>
      </c>
    </row>
    <row r="6" spans="1:13" ht="18" thickBot="1" x14ac:dyDescent="0.3">
      <c r="A6" s="21"/>
      <c r="B6" s="22"/>
      <c r="C6" s="23"/>
      <c r="D6" s="23"/>
      <c r="E6" s="24"/>
      <c r="F6" s="25"/>
      <c r="G6" s="26"/>
      <c r="H6" s="27"/>
      <c r="I6" s="21"/>
      <c r="J6" s="21"/>
      <c r="L6" s="49">
        <f t="shared" si="1"/>
        <v>0</v>
      </c>
      <c r="M6" s="49">
        <f t="shared" si="0"/>
        <v>0</v>
      </c>
    </row>
    <row r="7" spans="1:13" ht="17.25" x14ac:dyDescent="0.25">
      <c r="A7" s="28"/>
      <c r="B7" s="29"/>
      <c r="C7" s="30"/>
      <c r="D7" s="30"/>
      <c r="E7" s="16"/>
      <c r="F7" s="17"/>
      <c r="G7" s="31"/>
      <c r="H7" s="32"/>
      <c r="I7" s="28"/>
      <c r="J7" s="28"/>
      <c r="L7" s="49">
        <f t="shared" si="1"/>
        <v>0</v>
      </c>
      <c r="M7" s="49">
        <f t="shared" si="0"/>
        <v>0</v>
      </c>
    </row>
    <row r="8" spans="1:13" ht="18" thickBot="1" x14ac:dyDescent="0.3">
      <c r="A8" s="21"/>
      <c r="B8" s="22"/>
      <c r="C8" s="23"/>
      <c r="D8" s="23"/>
      <c r="E8" s="24"/>
      <c r="F8" s="25"/>
      <c r="G8" s="26"/>
      <c r="H8" s="27"/>
      <c r="I8" s="21"/>
      <c r="J8" s="21"/>
      <c r="L8" s="49">
        <f t="shared" si="1"/>
        <v>0</v>
      </c>
      <c r="M8" s="49">
        <f t="shared" si="0"/>
        <v>0</v>
      </c>
    </row>
    <row r="9" spans="1:13" ht="17.25" x14ac:dyDescent="0.25">
      <c r="A9" s="28"/>
      <c r="B9" s="29"/>
      <c r="C9" s="30"/>
      <c r="D9" s="30"/>
      <c r="E9" s="16"/>
      <c r="F9" s="17"/>
      <c r="G9" s="31"/>
      <c r="H9" s="32"/>
      <c r="I9" s="28"/>
      <c r="J9" s="28"/>
      <c r="L9" s="49">
        <f t="shared" si="1"/>
        <v>0</v>
      </c>
      <c r="M9" s="49">
        <f t="shared" si="0"/>
        <v>0</v>
      </c>
    </row>
    <row r="10" spans="1:13" ht="18" thickBot="1" x14ac:dyDescent="0.3">
      <c r="A10" s="21"/>
      <c r="B10" s="22"/>
      <c r="C10" s="23"/>
      <c r="D10" s="23"/>
      <c r="E10" s="24"/>
      <c r="F10" s="25"/>
      <c r="G10" s="26"/>
      <c r="H10" s="27"/>
      <c r="I10" s="21"/>
      <c r="J10" s="21"/>
      <c r="L10" s="49">
        <f t="shared" si="1"/>
        <v>0</v>
      </c>
      <c r="M10" s="49">
        <f t="shared" si="0"/>
        <v>0</v>
      </c>
    </row>
    <row r="11" spans="1:13" ht="17.25" x14ac:dyDescent="0.25">
      <c r="A11" s="28"/>
      <c r="B11" s="29"/>
      <c r="C11" s="30"/>
      <c r="D11" s="30"/>
      <c r="E11" s="16"/>
      <c r="F11" s="17"/>
      <c r="G11" s="31"/>
      <c r="H11" s="32"/>
      <c r="I11" s="28"/>
      <c r="J11" s="28"/>
      <c r="L11" s="49">
        <f t="shared" si="1"/>
        <v>0</v>
      </c>
      <c r="M11" s="49">
        <f t="shared" si="0"/>
        <v>0</v>
      </c>
    </row>
    <row r="12" spans="1:13" ht="18" thickBot="1" x14ac:dyDescent="0.3">
      <c r="A12" s="21"/>
      <c r="B12" s="22"/>
      <c r="C12" s="23"/>
      <c r="D12" s="23"/>
      <c r="E12" s="24"/>
      <c r="F12" s="25"/>
      <c r="G12" s="26"/>
      <c r="H12" s="27"/>
      <c r="I12" s="21"/>
      <c r="J12" s="21"/>
      <c r="L12" s="49">
        <f t="shared" si="1"/>
        <v>0</v>
      </c>
      <c r="M12" s="49">
        <f t="shared" si="0"/>
        <v>0</v>
      </c>
    </row>
    <row r="13" spans="1:13" ht="17.25" x14ac:dyDescent="0.25">
      <c r="A13" s="28"/>
      <c r="B13" s="29"/>
      <c r="C13" s="30"/>
      <c r="D13" s="30"/>
      <c r="E13" s="16"/>
      <c r="F13" s="17"/>
      <c r="G13" s="31"/>
      <c r="H13" s="32"/>
      <c r="I13" s="28"/>
      <c r="J13" s="28"/>
      <c r="L13" s="49">
        <f t="shared" si="1"/>
        <v>0</v>
      </c>
      <c r="M13" s="49">
        <f t="shared" si="0"/>
        <v>0</v>
      </c>
    </row>
    <row r="14" spans="1:13" ht="18" thickBot="1" x14ac:dyDescent="0.3">
      <c r="A14" s="21"/>
      <c r="B14" s="22"/>
      <c r="C14" s="23"/>
      <c r="D14" s="23"/>
      <c r="E14" s="24"/>
      <c r="F14" s="25"/>
      <c r="G14" s="26"/>
      <c r="H14" s="27"/>
      <c r="I14" s="21"/>
      <c r="J14" s="21"/>
      <c r="L14" s="49">
        <f t="shared" si="1"/>
        <v>0</v>
      </c>
      <c r="M14" s="49">
        <f t="shared" si="0"/>
        <v>0</v>
      </c>
    </row>
    <row r="15" spans="1:13" ht="17.25" x14ac:dyDescent="0.25">
      <c r="A15" s="28"/>
      <c r="B15" s="29"/>
      <c r="C15" s="30"/>
      <c r="D15" s="30"/>
      <c r="E15" s="16"/>
      <c r="F15" s="17"/>
      <c r="G15" s="31"/>
      <c r="H15" s="32"/>
      <c r="I15" s="28"/>
      <c r="J15" s="28"/>
      <c r="L15" s="49">
        <f t="shared" si="1"/>
        <v>0</v>
      </c>
      <c r="M15" s="49">
        <f t="shared" si="0"/>
        <v>0</v>
      </c>
    </row>
    <row r="16" spans="1:13" ht="18" thickBot="1" x14ac:dyDescent="0.3">
      <c r="A16" s="21"/>
      <c r="B16" s="22"/>
      <c r="C16" s="23"/>
      <c r="D16" s="23"/>
      <c r="E16" s="24"/>
      <c r="F16" s="25"/>
      <c r="G16" s="26"/>
      <c r="H16" s="27"/>
      <c r="I16" s="21"/>
      <c r="J16" s="21"/>
      <c r="L16" s="49">
        <f t="shared" si="1"/>
        <v>0</v>
      </c>
      <c r="M16" s="49">
        <f t="shared" si="0"/>
        <v>0</v>
      </c>
    </row>
    <row r="17" spans="1:13" ht="17.25" x14ac:dyDescent="0.25">
      <c r="A17" s="28"/>
      <c r="B17" s="29"/>
      <c r="C17" s="30"/>
      <c r="D17" s="30"/>
      <c r="E17" s="16"/>
      <c r="F17" s="17"/>
      <c r="G17" s="31"/>
      <c r="H17" s="32"/>
      <c r="I17" s="28"/>
      <c r="J17" s="28"/>
      <c r="L17" s="49">
        <f t="shared" si="1"/>
        <v>0</v>
      </c>
      <c r="M17" s="49">
        <f t="shared" si="0"/>
        <v>0</v>
      </c>
    </row>
    <row r="18" spans="1:13" ht="18" thickBot="1" x14ac:dyDescent="0.3">
      <c r="A18" s="21"/>
      <c r="B18" s="22"/>
      <c r="C18" s="23"/>
      <c r="D18" s="23"/>
      <c r="E18" s="24"/>
      <c r="F18" s="25"/>
      <c r="G18" s="26"/>
      <c r="H18" s="27"/>
      <c r="I18" s="21"/>
      <c r="J18" s="21"/>
      <c r="L18" s="49">
        <f t="shared" si="1"/>
        <v>0</v>
      </c>
      <c r="M18" s="49">
        <f t="shared" si="0"/>
        <v>0</v>
      </c>
    </row>
    <row r="19" spans="1:13" ht="17.25" x14ac:dyDescent="0.25">
      <c r="A19" s="28"/>
      <c r="B19" s="29"/>
      <c r="C19" s="30"/>
      <c r="D19" s="30"/>
      <c r="E19" s="16"/>
      <c r="F19" s="17"/>
      <c r="G19" s="31"/>
      <c r="H19" s="32"/>
      <c r="I19" s="28"/>
      <c r="J19" s="28"/>
      <c r="L19" s="49">
        <f t="shared" si="1"/>
        <v>0</v>
      </c>
      <c r="M19" s="49">
        <f t="shared" si="0"/>
        <v>0</v>
      </c>
    </row>
    <row r="20" spans="1:13" ht="18" thickBot="1" x14ac:dyDescent="0.3">
      <c r="A20" s="21"/>
      <c r="B20" s="22"/>
      <c r="C20" s="23"/>
      <c r="D20" s="23"/>
      <c r="E20" s="24"/>
      <c r="F20" s="25"/>
      <c r="G20" s="26"/>
      <c r="H20" s="27"/>
      <c r="I20" s="21"/>
      <c r="J20" s="21"/>
      <c r="L20" s="49">
        <f t="shared" si="1"/>
        <v>0</v>
      </c>
      <c r="M20" s="49">
        <f t="shared" si="0"/>
        <v>0</v>
      </c>
    </row>
    <row r="21" spans="1:13" ht="17.25" x14ac:dyDescent="0.25">
      <c r="A21" s="28"/>
      <c r="B21" s="29"/>
      <c r="C21" s="30"/>
      <c r="D21" s="30"/>
      <c r="E21" s="16"/>
      <c r="F21" s="17"/>
      <c r="G21" s="31"/>
      <c r="H21" s="32"/>
      <c r="I21" s="28"/>
      <c r="J21" s="28"/>
      <c r="L21" s="49">
        <f t="shared" si="1"/>
        <v>0</v>
      </c>
      <c r="M21" s="49">
        <f t="shared" si="0"/>
        <v>0</v>
      </c>
    </row>
    <row r="22" spans="1:13" ht="18" thickBot="1" x14ac:dyDescent="0.3">
      <c r="A22" s="21"/>
      <c r="B22" s="22"/>
      <c r="C22" s="23"/>
      <c r="D22" s="23"/>
      <c r="E22" s="24"/>
      <c r="F22" s="25"/>
      <c r="G22" s="26"/>
      <c r="H22" s="27"/>
      <c r="I22" s="21"/>
      <c r="J22" s="21"/>
      <c r="L22" s="49">
        <f t="shared" si="1"/>
        <v>0</v>
      </c>
      <c r="M22" s="49">
        <f t="shared" si="0"/>
        <v>0</v>
      </c>
    </row>
    <row r="23" spans="1:13" ht="17.25" x14ac:dyDescent="0.25">
      <c r="A23" s="28"/>
      <c r="B23" s="29"/>
      <c r="C23" s="30"/>
      <c r="D23" s="30"/>
      <c r="E23" s="16"/>
      <c r="F23" s="17"/>
      <c r="G23" s="31"/>
      <c r="H23" s="32"/>
      <c r="I23" s="28"/>
      <c r="J23" s="28"/>
      <c r="L23" s="49">
        <f t="shared" si="1"/>
        <v>0</v>
      </c>
      <c r="M23" s="49">
        <f t="shared" si="0"/>
        <v>0</v>
      </c>
    </row>
    <row r="24" spans="1:13" ht="18" thickBot="1" x14ac:dyDescent="0.3">
      <c r="A24" s="21"/>
      <c r="B24" s="22"/>
      <c r="C24" s="23"/>
      <c r="D24" s="23"/>
      <c r="E24" s="24"/>
      <c r="F24" s="25"/>
      <c r="G24" s="26"/>
      <c r="H24" s="27"/>
      <c r="I24" s="21"/>
      <c r="J24" s="21"/>
      <c r="L24" s="49">
        <f t="shared" si="1"/>
        <v>0</v>
      </c>
      <c r="M24" s="49">
        <f t="shared" si="0"/>
        <v>0</v>
      </c>
    </row>
    <row r="25" spans="1:13" ht="17.25" x14ac:dyDescent="0.25">
      <c r="A25" s="28"/>
      <c r="B25" s="29"/>
      <c r="C25" s="30"/>
      <c r="D25" s="30"/>
      <c r="E25" s="16"/>
      <c r="F25" s="17"/>
      <c r="G25" s="31"/>
      <c r="H25" s="32"/>
      <c r="I25" s="28"/>
      <c r="J25" s="28"/>
      <c r="L25" s="49">
        <f t="shared" si="1"/>
        <v>0</v>
      </c>
      <c r="M25" s="49">
        <f t="shared" si="0"/>
        <v>0</v>
      </c>
    </row>
    <row r="26" spans="1:13" ht="18" thickBot="1" x14ac:dyDescent="0.3">
      <c r="A26" s="21"/>
      <c r="B26" s="22"/>
      <c r="C26" s="23"/>
      <c r="D26" s="23"/>
      <c r="E26" s="24"/>
      <c r="F26" s="25"/>
      <c r="G26" s="26"/>
      <c r="H26" s="27"/>
      <c r="I26" s="21"/>
      <c r="J26" s="21"/>
      <c r="L26" s="49">
        <f t="shared" si="1"/>
        <v>0</v>
      </c>
      <c r="M26" s="49">
        <f t="shared" si="0"/>
        <v>0</v>
      </c>
    </row>
    <row r="27" spans="1:13" ht="17.25" x14ac:dyDescent="0.25">
      <c r="A27" s="28"/>
      <c r="B27" s="29"/>
      <c r="C27" s="30"/>
      <c r="D27" s="30"/>
      <c r="E27" s="16"/>
      <c r="F27" s="17"/>
      <c r="G27" s="31"/>
      <c r="H27" s="32"/>
      <c r="I27" s="28"/>
      <c r="J27" s="28"/>
      <c r="L27" s="49">
        <f t="shared" si="1"/>
        <v>0</v>
      </c>
      <c r="M27" s="49">
        <f t="shared" si="0"/>
        <v>0</v>
      </c>
    </row>
    <row r="28" spans="1:13" ht="18" thickBot="1" x14ac:dyDescent="0.3">
      <c r="A28" s="21"/>
      <c r="B28" s="22"/>
      <c r="C28" s="23"/>
      <c r="D28" s="23"/>
      <c r="E28" s="24"/>
      <c r="F28" s="25"/>
      <c r="G28" s="26"/>
      <c r="H28" s="27"/>
      <c r="I28" s="21"/>
      <c r="J28" s="21"/>
      <c r="L28" s="49">
        <f t="shared" si="1"/>
        <v>0</v>
      </c>
      <c r="M28" s="49">
        <f t="shared" si="0"/>
        <v>0</v>
      </c>
    </row>
    <row r="29" spans="1:13" ht="17.25" x14ac:dyDescent="0.25">
      <c r="A29" s="28"/>
      <c r="B29" s="29"/>
      <c r="C29" s="30"/>
      <c r="D29" s="30"/>
      <c r="E29" s="16"/>
      <c r="F29" s="17"/>
      <c r="G29" s="31"/>
      <c r="H29" s="32"/>
      <c r="I29" s="28"/>
      <c r="J29" s="28"/>
      <c r="L29" s="49">
        <f t="shared" si="1"/>
        <v>0</v>
      </c>
      <c r="M29" s="49">
        <f t="shared" si="0"/>
        <v>0</v>
      </c>
    </row>
    <row r="30" spans="1:13" ht="18" thickBot="1" x14ac:dyDescent="0.3">
      <c r="A30" s="21"/>
      <c r="B30" s="22"/>
      <c r="C30" s="23"/>
      <c r="D30" s="23"/>
      <c r="E30" s="24"/>
      <c r="F30" s="25"/>
      <c r="G30" s="26"/>
      <c r="H30" s="27"/>
      <c r="I30" s="21"/>
      <c r="J30" s="21"/>
      <c r="L30" s="49">
        <f t="shared" si="1"/>
        <v>0</v>
      </c>
      <c r="M30" s="49">
        <f t="shared" si="0"/>
        <v>0</v>
      </c>
    </row>
    <row r="31" spans="1:13" ht="17.25" x14ac:dyDescent="0.25">
      <c r="A31" s="28"/>
      <c r="B31" s="29"/>
      <c r="C31" s="30"/>
      <c r="D31" s="30"/>
      <c r="E31" s="16"/>
      <c r="F31" s="17"/>
      <c r="G31" s="31"/>
      <c r="H31" s="32"/>
      <c r="I31" s="28"/>
      <c r="J31" s="28"/>
      <c r="L31" s="49">
        <f t="shared" si="1"/>
        <v>0</v>
      </c>
      <c r="M31" s="49">
        <f t="shared" si="0"/>
        <v>0</v>
      </c>
    </row>
    <row r="32" spans="1:13" ht="18" thickBot="1" x14ac:dyDescent="0.3">
      <c r="A32" s="21"/>
      <c r="B32" s="22"/>
      <c r="C32" s="23"/>
      <c r="D32" s="23"/>
      <c r="E32" s="24"/>
      <c r="F32" s="25"/>
      <c r="G32" s="26"/>
      <c r="H32" s="27"/>
      <c r="I32" s="21"/>
      <c r="J32" s="21"/>
      <c r="L32" s="49">
        <f t="shared" si="1"/>
        <v>0</v>
      </c>
      <c r="M32" s="49">
        <f t="shared" si="0"/>
        <v>0</v>
      </c>
    </row>
    <row r="33" spans="1:13" ht="17.25" x14ac:dyDescent="0.25">
      <c r="A33" s="33"/>
      <c r="B33" s="34"/>
      <c r="C33" s="35"/>
      <c r="D33" s="35"/>
      <c r="E33" s="36"/>
      <c r="F33" s="37"/>
      <c r="G33" s="38"/>
      <c r="H33" s="39"/>
      <c r="I33" s="33"/>
      <c r="J33" s="33"/>
      <c r="L33" s="49">
        <f t="shared" si="1"/>
        <v>0</v>
      </c>
      <c r="M33" s="49">
        <f t="shared" si="0"/>
        <v>0</v>
      </c>
    </row>
    <row r="34" spans="1:13" ht="18" thickBot="1" x14ac:dyDescent="0.3">
      <c r="A34" s="40"/>
      <c r="B34" s="41"/>
      <c r="C34" s="42"/>
      <c r="D34" s="42"/>
      <c r="E34" s="43"/>
      <c r="F34" s="44"/>
      <c r="G34" s="45"/>
      <c r="H34" s="46"/>
      <c r="I34" s="40"/>
      <c r="J34" s="40"/>
      <c r="L34" s="49">
        <f t="shared" si="1"/>
        <v>0</v>
      </c>
      <c r="M34" s="49">
        <f t="shared" si="0"/>
        <v>0</v>
      </c>
    </row>
    <row r="35" spans="1:13" ht="17.25" x14ac:dyDescent="0.25">
      <c r="A35" s="33"/>
      <c r="B35" s="34"/>
      <c r="C35" s="35"/>
      <c r="D35" s="35"/>
      <c r="E35" s="36"/>
      <c r="F35" s="37"/>
      <c r="G35" s="38"/>
      <c r="H35" s="39"/>
      <c r="I35" s="33"/>
      <c r="J35" s="33"/>
      <c r="L35" s="49">
        <f t="shared" si="1"/>
        <v>0</v>
      </c>
      <c r="M35" s="49">
        <f t="shared" si="0"/>
        <v>0</v>
      </c>
    </row>
    <row r="36" spans="1:13" ht="18" thickBot="1" x14ac:dyDescent="0.3">
      <c r="A36" s="40"/>
      <c r="B36" s="41"/>
      <c r="C36" s="42"/>
      <c r="D36" s="42"/>
      <c r="E36" s="43"/>
      <c r="F36" s="44"/>
      <c r="G36" s="45"/>
      <c r="H36" s="46"/>
      <c r="I36" s="40"/>
      <c r="J36" s="40"/>
      <c r="L36" s="49">
        <f t="shared" si="1"/>
        <v>0</v>
      </c>
      <c r="M36" s="49">
        <f t="shared" si="0"/>
        <v>0</v>
      </c>
    </row>
    <row r="37" spans="1:13" ht="17.25" x14ac:dyDescent="0.25">
      <c r="A37" s="33"/>
      <c r="B37" s="34"/>
      <c r="C37" s="35"/>
      <c r="D37" s="35"/>
      <c r="E37" s="36"/>
      <c r="F37" s="37"/>
      <c r="G37" s="38"/>
      <c r="H37" s="39"/>
      <c r="I37" s="33"/>
      <c r="J37" s="33"/>
      <c r="L37" s="49">
        <f t="shared" si="1"/>
        <v>0</v>
      </c>
      <c r="M37" s="49">
        <f t="shared" si="0"/>
        <v>0</v>
      </c>
    </row>
    <row r="38" spans="1:13" ht="18" thickBot="1" x14ac:dyDescent="0.3">
      <c r="A38" s="40"/>
      <c r="B38" s="41"/>
      <c r="C38" s="42"/>
      <c r="D38" s="42"/>
      <c r="E38" s="43"/>
      <c r="F38" s="44"/>
      <c r="G38" s="45"/>
      <c r="H38" s="46"/>
      <c r="I38" s="40"/>
      <c r="J38" s="40"/>
      <c r="L38" s="49">
        <f t="shared" si="1"/>
        <v>0</v>
      </c>
      <c r="M38" s="49">
        <f t="shared" si="0"/>
        <v>0</v>
      </c>
    </row>
    <row r="39" spans="1:13" ht="17.25" x14ac:dyDescent="0.25">
      <c r="A39" s="33"/>
      <c r="B39" s="34"/>
      <c r="C39" s="35"/>
      <c r="D39" s="35"/>
      <c r="E39" s="36"/>
      <c r="F39" s="37"/>
      <c r="G39" s="38"/>
      <c r="H39" s="39"/>
      <c r="I39" s="33"/>
      <c r="J39" s="33"/>
      <c r="L39" s="49">
        <f t="shared" si="1"/>
        <v>0</v>
      </c>
      <c r="M39" s="49">
        <f t="shared" si="0"/>
        <v>0</v>
      </c>
    </row>
    <row r="40" spans="1:13" ht="18" thickBot="1" x14ac:dyDescent="0.3">
      <c r="A40" s="40"/>
      <c r="B40" s="41"/>
      <c r="C40" s="42"/>
      <c r="D40" s="42"/>
      <c r="E40" s="43"/>
      <c r="F40" s="44"/>
      <c r="G40" s="45"/>
      <c r="H40" s="46"/>
      <c r="I40" s="40"/>
      <c r="J40" s="40"/>
      <c r="L40" s="49">
        <f t="shared" si="1"/>
        <v>0</v>
      </c>
      <c r="M40" s="49">
        <f t="shared" si="0"/>
        <v>0</v>
      </c>
    </row>
    <row r="41" spans="1:13" ht="17.25" x14ac:dyDescent="0.25">
      <c r="A41" s="33"/>
      <c r="B41" s="34"/>
      <c r="C41" s="35"/>
      <c r="D41" s="35"/>
      <c r="E41" s="36"/>
      <c r="F41" s="37"/>
      <c r="G41" s="38"/>
      <c r="H41" s="39"/>
      <c r="I41" s="33"/>
      <c r="J41" s="33"/>
      <c r="L41" s="49">
        <f t="shared" si="1"/>
        <v>0</v>
      </c>
      <c r="M41" s="49">
        <f t="shared" si="0"/>
        <v>0</v>
      </c>
    </row>
    <row r="42" spans="1:13" ht="18" thickBot="1" x14ac:dyDescent="0.3">
      <c r="A42" s="40"/>
      <c r="B42" s="41"/>
      <c r="C42" s="42"/>
      <c r="D42" s="42"/>
      <c r="E42" s="43"/>
      <c r="F42" s="44"/>
      <c r="G42" s="45"/>
      <c r="H42" s="46"/>
      <c r="I42" s="40"/>
      <c r="J42" s="40"/>
      <c r="L42" s="49">
        <f t="shared" si="1"/>
        <v>0</v>
      </c>
      <c r="M42" s="49">
        <f t="shared" si="0"/>
        <v>0</v>
      </c>
    </row>
    <row r="43" spans="1:13" ht="17.25" x14ac:dyDescent="0.25">
      <c r="A43" s="33"/>
      <c r="B43" s="34"/>
      <c r="C43" s="35"/>
      <c r="D43" s="35"/>
      <c r="E43" s="36"/>
      <c r="F43" s="37"/>
      <c r="G43" s="38"/>
      <c r="H43" s="39"/>
      <c r="I43" s="33"/>
      <c r="J43" s="33"/>
      <c r="L43" s="49">
        <f t="shared" si="1"/>
        <v>0</v>
      </c>
      <c r="M43" s="49">
        <f t="shared" si="0"/>
        <v>0</v>
      </c>
    </row>
    <row r="44" spans="1:13" ht="18" thickBot="1" x14ac:dyDescent="0.3">
      <c r="A44" s="40"/>
      <c r="B44" s="41"/>
      <c r="C44" s="42"/>
      <c r="D44" s="42"/>
      <c r="E44" s="43"/>
      <c r="F44" s="44"/>
      <c r="G44" s="45"/>
      <c r="H44" s="46"/>
      <c r="I44" s="40"/>
      <c r="J44" s="40"/>
      <c r="L44" s="49">
        <f t="shared" si="1"/>
        <v>0</v>
      </c>
      <c r="M44" s="49">
        <f t="shared" si="0"/>
        <v>0</v>
      </c>
    </row>
    <row r="45" spans="1:13" ht="17.25" x14ac:dyDescent="0.25">
      <c r="A45" s="33"/>
      <c r="B45" s="34"/>
      <c r="C45" s="35"/>
      <c r="D45" s="35"/>
      <c r="E45" s="36"/>
      <c r="F45" s="37"/>
      <c r="G45" s="38"/>
      <c r="H45" s="39"/>
      <c r="I45" s="33"/>
      <c r="J45" s="33"/>
      <c r="L45" s="49">
        <f t="shared" si="1"/>
        <v>0</v>
      </c>
      <c r="M45" s="49">
        <f t="shared" si="0"/>
        <v>0</v>
      </c>
    </row>
    <row r="46" spans="1:13" ht="18" thickBot="1" x14ac:dyDescent="0.3">
      <c r="A46" s="40"/>
      <c r="B46" s="41"/>
      <c r="C46" s="42"/>
      <c r="D46" s="42"/>
      <c r="E46" s="43"/>
      <c r="F46" s="44"/>
      <c r="G46" s="45"/>
      <c r="H46" s="46"/>
      <c r="I46" s="40"/>
      <c r="J46" s="40"/>
      <c r="L46" s="49">
        <f t="shared" si="1"/>
        <v>0</v>
      </c>
      <c r="M46" s="49">
        <f t="shared" si="0"/>
        <v>0</v>
      </c>
    </row>
    <row r="47" spans="1:13" ht="17.25" x14ac:dyDescent="0.25">
      <c r="A47" s="33"/>
      <c r="B47" s="34"/>
      <c r="C47" s="35"/>
      <c r="D47" s="35"/>
      <c r="E47" s="36"/>
      <c r="F47" s="37"/>
      <c r="G47" s="38"/>
      <c r="H47" s="39"/>
      <c r="I47" s="33"/>
      <c r="J47" s="33"/>
      <c r="L47" s="49">
        <f t="shared" ref="L47" si="2">D47</f>
        <v>0</v>
      </c>
      <c r="M47" s="49">
        <f>IF(G47="Offline","Offline",IF(F47="Printer:  OK",F48,F47))</f>
        <v>0</v>
      </c>
    </row>
    <row r="48" spans="1:13" ht="18" thickBot="1" x14ac:dyDescent="0.3">
      <c r="A48" s="40"/>
      <c r="B48" s="41"/>
      <c r="C48" s="42"/>
      <c r="D48" s="42"/>
      <c r="E48" s="43"/>
      <c r="F48" s="44"/>
      <c r="G48" s="45"/>
      <c r="H48" s="46"/>
      <c r="I48" s="40"/>
      <c r="J48" s="40"/>
      <c r="L48" s="49">
        <f t="shared" ref="L48:L111" si="3">D48</f>
        <v>0</v>
      </c>
      <c r="M48" s="49">
        <f t="shared" ref="M48:M111" si="4">IF(G48="Offline","Offline",IF(F48="Printer:  OK",F49,F48))</f>
        <v>0</v>
      </c>
    </row>
    <row r="49" spans="5:13" x14ac:dyDescent="0.25">
      <c r="L49" s="49">
        <f t="shared" si="3"/>
        <v>0</v>
      </c>
      <c r="M49" s="49">
        <f t="shared" si="4"/>
        <v>0</v>
      </c>
    </row>
    <row r="50" spans="5:13" x14ac:dyDescent="0.25">
      <c r="E50" s="47"/>
      <c r="L50" s="49">
        <f t="shared" si="3"/>
        <v>0</v>
      </c>
      <c r="M50" s="49">
        <f t="shared" si="4"/>
        <v>0</v>
      </c>
    </row>
    <row r="51" spans="5:13" x14ac:dyDescent="0.25">
      <c r="L51" s="49">
        <f t="shared" si="3"/>
        <v>0</v>
      </c>
      <c r="M51" s="49">
        <f t="shared" si="4"/>
        <v>0</v>
      </c>
    </row>
    <row r="52" spans="5:13" x14ac:dyDescent="0.25">
      <c r="E52" s="47"/>
      <c r="L52" s="49">
        <f t="shared" si="3"/>
        <v>0</v>
      </c>
      <c r="M52" s="49">
        <f t="shared" si="4"/>
        <v>0</v>
      </c>
    </row>
    <row r="53" spans="5:13" x14ac:dyDescent="0.25">
      <c r="L53" s="49">
        <f t="shared" si="3"/>
        <v>0</v>
      </c>
      <c r="M53" s="49">
        <f t="shared" si="4"/>
        <v>0</v>
      </c>
    </row>
    <row r="54" spans="5:13" x14ac:dyDescent="0.25">
      <c r="E54" s="47"/>
      <c r="L54" s="49">
        <f t="shared" si="3"/>
        <v>0</v>
      </c>
      <c r="M54" s="49">
        <f t="shared" si="4"/>
        <v>0</v>
      </c>
    </row>
    <row r="55" spans="5:13" x14ac:dyDescent="0.25">
      <c r="L55" s="49">
        <f t="shared" si="3"/>
        <v>0</v>
      </c>
      <c r="M55" s="49">
        <f t="shared" si="4"/>
        <v>0</v>
      </c>
    </row>
    <row r="56" spans="5:13" x14ac:dyDescent="0.25">
      <c r="L56" s="49">
        <f t="shared" si="3"/>
        <v>0</v>
      </c>
      <c r="M56" s="49">
        <f t="shared" si="4"/>
        <v>0</v>
      </c>
    </row>
    <row r="57" spans="5:13" x14ac:dyDescent="0.25">
      <c r="E57" s="47"/>
      <c r="L57" s="49">
        <f t="shared" si="3"/>
        <v>0</v>
      </c>
      <c r="M57" s="49">
        <f t="shared" si="4"/>
        <v>0</v>
      </c>
    </row>
    <row r="58" spans="5:13" x14ac:dyDescent="0.25">
      <c r="L58" s="49">
        <f t="shared" si="3"/>
        <v>0</v>
      </c>
      <c r="M58" s="49">
        <f t="shared" si="4"/>
        <v>0</v>
      </c>
    </row>
    <row r="59" spans="5:13" x14ac:dyDescent="0.25">
      <c r="E59" s="47"/>
      <c r="L59" s="49">
        <f t="shared" si="3"/>
        <v>0</v>
      </c>
      <c r="M59" s="49">
        <f t="shared" si="4"/>
        <v>0</v>
      </c>
    </row>
    <row r="60" spans="5:13" x14ac:dyDescent="0.25">
      <c r="L60" s="49">
        <f t="shared" si="3"/>
        <v>0</v>
      </c>
      <c r="M60" s="49">
        <f t="shared" si="4"/>
        <v>0</v>
      </c>
    </row>
    <row r="61" spans="5:13" x14ac:dyDescent="0.25">
      <c r="L61" s="49">
        <f t="shared" si="3"/>
        <v>0</v>
      </c>
      <c r="M61" s="49">
        <f t="shared" si="4"/>
        <v>0</v>
      </c>
    </row>
    <row r="62" spans="5:13" x14ac:dyDescent="0.25">
      <c r="E62" s="47"/>
      <c r="L62" s="49">
        <f t="shared" si="3"/>
        <v>0</v>
      </c>
      <c r="M62" s="49">
        <f t="shared" si="4"/>
        <v>0</v>
      </c>
    </row>
    <row r="63" spans="5:13" x14ac:dyDescent="0.25">
      <c r="L63" s="49">
        <f t="shared" si="3"/>
        <v>0</v>
      </c>
      <c r="M63" s="49">
        <f t="shared" si="4"/>
        <v>0</v>
      </c>
    </row>
    <row r="64" spans="5:13" x14ac:dyDescent="0.25">
      <c r="L64" s="49">
        <f t="shared" si="3"/>
        <v>0</v>
      </c>
      <c r="M64" s="49">
        <f t="shared" si="4"/>
        <v>0</v>
      </c>
    </row>
    <row r="65" spans="5:13" x14ac:dyDescent="0.25">
      <c r="E65" s="47"/>
      <c r="L65" s="49">
        <f t="shared" si="3"/>
        <v>0</v>
      </c>
      <c r="M65" s="49">
        <f t="shared" si="4"/>
        <v>0</v>
      </c>
    </row>
    <row r="66" spans="5:13" x14ac:dyDescent="0.25">
      <c r="L66" s="49">
        <f t="shared" si="3"/>
        <v>0</v>
      </c>
      <c r="M66" s="49">
        <f t="shared" si="4"/>
        <v>0</v>
      </c>
    </row>
    <row r="67" spans="5:13" x14ac:dyDescent="0.25">
      <c r="E67" s="47"/>
      <c r="L67" s="49">
        <f t="shared" si="3"/>
        <v>0</v>
      </c>
      <c r="M67" s="49">
        <f t="shared" si="4"/>
        <v>0</v>
      </c>
    </row>
    <row r="68" spans="5:13" x14ac:dyDescent="0.25">
      <c r="L68" s="49">
        <f t="shared" si="3"/>
        <v>0</v>
      </c>
      <c r="M68" s="49">
        <f t="shared" si="4"/>
        <v>0</v>
      </c>
    </row>
    <row r="69" spans="5:13" x14ac:dyDescent="0.25">
      <c r="L69" s="49">
        <f t="shared" si="3"/>
        <v>0</v>
      </c>
      <c r="M69" s="49">
        <f t="shared" si="4"/>
        <v>0</v>
      </c>
    </row>
    <row r="70" spans="5:13" x14ac:dyDescent="0.25">
      <c r="E70" s="47"/>
      <c r="L70" s="49">
        <f t="shared" si="3"/>
        <v>0</v>
      </c>
      <c r="M70" s="49">
        <f t="shared" si="4"/>
        <v>0</v>
      </c>
    </row>
    <row r="71" spans="5:13" x14ac:dyDescent="0.25">
      <c r="L71" s="49">
        <f t="shared" si="3"/>
        <v>0</v>
      </c>
      <c r="M71" s="49">
        <f t="shared" si="4"/>
        <v>0</v>
      </c>
    </row>
    <row r="72" spans="5:13" x14ac:dyDescent="0.25">
      <c r="L72" s="49">
        <f t="shared" si="3"/>
        <v>0</v>
      </c>
      <c r="M72" s="49">
        <f t="shared" si="4"/>
        <v>0</v>
      </c>
    </row>
    <row r="73" spans="5:13" x14ac:dyDescent="0.25">
      <c r="E73" s="47"/>
      <c r="L73" s="49">
        <f t="shared" si="3"/>
        <v>0</v>
      </c>
      <c r="M73" s="49">
        <f t="shared" si="4"/>
        <v>0</v>
      </c>
    </row>
    <row r="74" spans="5:13" x14ac:dyDescent="0.25">
      <c r="L74" s="49">
        <f t="shared" si="3"/>
        <v>0</v>
      </c>
      <c r="M74" s="49">
        <f t="shared" si="4"/>
        <v>0</v>
      </c>
    </row>
    <row r="75" spans="5:13" x14ac:dyDescent="0.25">
      <c r="L75" s="49">
        <f t="shared" si="3"/>
        <v>0</v>
      </c>
      <c r="M75" s="49">
        <f t="shared" si="4"/>
        <v>0</v>
      </c>
    </row>
    <row r="76" spans="5:13" x14ac:dyDescent="0.25">
      <c r="E76" s="47"/>
      <c r="L76" s="49">
        <f t="shared" si="3"/>
        <v>0</v>
      </c>
      <c r="M76" s="49">
        <f t="shared" si="4"/>
        <v>0</v>
      </c>
    </row>
    <row r="77" spans="5:13" x14ac:dyDescent="0.25">
      <c r="L77" s="49">
        <f t="shared" si="3"/>
        <v>0</v>
      </c>
      <c r="M77" s="49">
        <f t="shared" si="4"/>
        <v>0</v>
      </c>
    </row>
    <row r="78" spans="5:13" x14ac:dyDescent="0.25">
      <c r="L78" s="49">
        <f t="shared" si="3"/>
        <v>0</v>
      </c>
      <c r="M78" s="49">
        <f t="shared" si="4"/>
        <v>0</v>
      </c>
    </row>
    <row r="79" spans="5:13" x14ac:dyDescent="0.25">
      <c r="E79" s="47"/>
      <c r="L79" s="49">
        <f t="shared" si="3"/>
        <v>0</v>
      </c>
      <c r="M79" s="49">
        <f t="shared" si="4"/>
        <v>0</v>
      </c>
    </row>
    <row r="80" spans="5:13" x14ac:dyDescent="0.25">
      <c r="L80" s="49">
        <f t="shared" si="3"/>
        <v>0</v>
      </c>
      <c r="M80" s="49">
        <f t="shared" si="4"/>
        <v>0</v>
      </c>
    </row>
    <row r="81" spans="5:13" x14ac:dyDescent="0.25">
      <c r="L81" s="49">
        <f t="shared" si="3"/>
        <v>0</v>
      </c>
      <c r="M81" s="49">
        <f t="shared" si="4"/>
        <v>0</v>
      </c>
    </row>
    <row r="82" spans="5:13" x14ac:dyDescent="0.25">
      <c r="E82" s="47"/>
      <c r="L82" s="49">
        <f t="shared" si="3"/>
        <v>0</v>
      </c>
      <c r="M82" s="49">
        <f t="shared" si="4"/>
        <v>0</v>
      </c>
    </row>
    <row r="83" spans="5:13" x14ac:dyDescent="0.25">
      <c r="L83" s="49">
        <f t="shared" si="3"/>
        <v>0</v>
      </c>
      <c r="M83" s="49">
        <f t="shared" si="4"/>
        <v>0</v>
      </c>
    </row>
    <row r="84" spans="5:13" x14ac:dyDescent="0.25">
      <c r="L84" s="49">
        <f t="shared" si="3"/>
        <v>0</v>
      </c>
      <c r="M84" s="49">
        <f t="shared" si="4"/>
        <v>0</v>
      </c>
    </row>
    <row r="85" spans="5:13" x14ac:dyDescent="0.25">
      <c r="E85" s="47"/>
      <c r="L85" s="49">
        <f t="shared" si="3"/>
        <v>0</v>
      </c>
      <c r="M85" s="49">
        <f t="shared" si="4"/>
        <v>0</v>
      </c>
    </row>
    <row r="86" spans="5:13" x14ac:dyDescent="0.25">
      <c r="L86" s="49">
        <f t="shared" si="3"/>
        <v>0</v>
      </c>
      <c r="M86" s="49">
        <f t="shared" si="4"/>
        <v>0</v>
      </c>
    </row>
    <row r="87" spans="5:13" x14ac:dyDescent="0.25">
      <c r="L87" s="49">
        <f t="shared" si="3"/>
        <v>0</v>
      </c>
      <c r="M87" s="49">
        <f t="shared" si="4"/>
        <v>0</v>
      </c>
    </row>
    <row r="88" spans="5:13" x14ac:dyDescent="0.25">
      <c r="E88" s="47"/>
      <c r="L88" s="49">
        <f t="shared" si="3"/>
        <v>0</v>
      </c>
      <c r="M88" s="49">
        <f t="shared" si="4"/>
        <v>0</v>
      </c>
    </row>
    <row r="89" spans="5:13" x14ac:dyDescent="0.25">
      <c r="L89" s="49">
        <f t="shared" si="3"/>
        <v>0</v>
      </c>
      <c r="M89" s="49">
        <f t="shared" si="4"/>
        <v>0</v>
      </c>
    </row>
    <row r="90" spans="5:13" x14ac:dyDescent="0.25">
      <c r="E90" s="47"/>
      <c r="L90" s="49">
        <f t="shared" si="3"/>
        <v>0</v>
      </c>
      <c r="M90" s="49">
        <f t="shared" si="4"/>
        <v>0</v>
      </c>
    </row>
    <row r="91" spans="5:13" x14ac:dyDescent="0.25">
      <c r="L91" s="49">
        <f t="shared" si="3"/>
        <v>0</v>
      </c>
      <c r="M91" s="49">
        <f t="shared" si="4"/>
        <v>0</v>
      </c>
    </row>
    <row r="92" spans="5:13" x14ac:dyDescent="0.25">
      <c r="L92" s="49">
        <f t="shared" si="3"/>
        <v>0</v>
      </c>
      <c r="M92" s="49">
        <f t="shared" si="4"/>
        <v>0</v>
      </c>
    </row>
    <row r="93" spans="5:13" x14ac:dyDescent="0.25">
      <c r="L93" s="49">
        <f t="shared" si="3"/>
        <v>0</v>
      </c>
      <c r="M93" s="49">
        <f t="shared" si="4"/>
        <v>0</v>
      </c>
    </row>
    <row r="94" spans="5:13" x14ac:dyDescent="0.25">
      <c r="L94" s="49">
        <f t="shared" si="3"/>
        <v>0</v>
      </c>
      <c r="M94" s="49">
        <f t="shared" si="4"/>
        <v>0</v>
      </c>
    </row>
    <row r="95" spans="5:13" x14ac:dyDescent="0.25">
      <c r="L95" s="49">
        <f t="shared" si="3"/>
        <v>0</v>
      </c>
      <c r="M95" s="49">
        <f t="shared" si="4"/>
        <v>0</v>
      </c>
    </row>
    <row r="96" spans="5:13" x14ac:dyDescent="0.25">
      <c r="L96" s="49">
        <f t="shared" si="3"/>
        <v>0</v>
      </c>
      <c r="M96" s="49">
        <f t="shared" si="4"/>
        <v>0</v>
      </c>
    </row>
    <row r="97" spans="12:13" x14ac:dyDescent="0.25">
      <c r="L97" s="49">
        <f t="shared" si="3"/>
        <v>0</v>
      </c>
      <c r="M97" s="49">
        <f t="shared" si="4"/>
        <v>0</v>
      </c>
    </row>
    <row r="98" spans="12:13" x14ac:dyDescent="0.25">
      <c r="L98" s="49">
        <f t="shared" si="3"/>
        <v>0</v>
      </c>
      <c r="M98" s="49">
        <f t="shared" si="4"/>
        <v>0</v>
      </c>
    </row>
    <row r="99" spans="12:13" x14ac:dyDescent="0.25">
      <c r="L99" s="49">
        <f t="shared" si="3"/>
        <v>0</v>
      </c>
      <c r="M99" s="49">
        <f t="shared" si="4"/>
        <v>0</v>
      </c>
    </row>
    <row r="100" spans="12:13" x14ac:dyDescent="0.25">
      <c r="L100" s="49">
        <f t="shared" si="3"/>
        <v>0</v>
      </c>
      <c r="M100" s="49">
        <f t="shared" si="4"/>
        <v>0</v>
      </c>
    </row>
    <row r="101" spans="12:13" x14ac:dyDescent="0.25">
      <c r="L101" s="49">
        <f t="shared" si="3"/>
        <v>0</v>
      </c>
      <c r="M101" s="49">
        <f t="shared" si="4"/>
        <v>0</v>
      </c>
    </row>
    <row r="102" spans="12:13" x14ac:dyDescent="0.25">
      <c r="L102" s="49">
        <f t="shared" si="3"/>
        <v>0</v>
      </c>
      <c r="M102" s="49">
        <f t="shared" si="4"/>
        <v>0</v>
      </c>
    </row>
    <row r="103" spans="12:13" x14ac:dyDescent="0.25">
      <c r="L103" s="49">
        <f t="shared" si="3"/>
        <v>0</v>
      </c>
      <c r="M103" s="49">
        <f t="shared" si="4"/>
        <v>0</v>
      </c>
    </row>
    <row r="104" spans="12:13" x14ac:dyDescent="0.25">
      <c r="L104" s="49">
        <f t="shared" si="3"/>
        <v>0</v>
      </c>
      <c r="M104" s="49">
        <f t="shared" si="4"/>
        <v>0</v>
      </c>
    </row>
    <row r="105" spans="12:13" x14ac:dyDescent="0.25">
      <c r="L105" s="49">
        <f t="shared" si="3"/>
        <v>0</v>
      </c>
      <c r="M105" s="49">
        <f t="shared" si="4"/>
        <v>0</v>
      </c>
    </row>
    <row r="106" spans="12:13" x14ac:dyDescent="0.25">
      <c r="L106" s="49">
        <f t="shared" si="3"/>
        <v>0</v>
      </c>
      <c r="M106" s="49">
        <f t="shared" si="4"/>
        <v>0</v>
      </c>
    </row>
    <row r="107" spans="12:13" x14ac:dyDescent="0.25">
      <c r="L107" s="49">
        <f t="shared" si="3"/>
        <v>0</v>
      </c>
      <c r="M107" s="49">
        <f t="shared" si="4"/>
        <v>0</v>
      </c>
    </row>
    <row r="108" spans="12:13" x14ac:dyDescent="0.25">
      <c r="L108" s="49">
        <f t="shared" si="3"/>
        <v>0</v>
      </c>
      <c r="M108" s="49">
        <f t="shared" si="4"/>
        <v>0</v>
      </c>
    </row>
    <row r="109" spans="12:13" x14ac:dyDescent="0.25">
      <c r="L109" s="49">
        <f t="shared" si="3"/>
        <v>0</v>
      </c>
      <c r="M109" s="49">
        <f t="shared" si="4"/>
        <v>0</v>
      </c>
    </row>
    <row r="110" spans="12:13" x14ac:dyDescent="0.25">
      <c r="L110" s="49">
        <f t="shared" si="3"/>
        <v>0</v>
      </c>
      <c r="M110" s="49">
        <f t="shared" si="4"/>
        <v>0</v>
      </c>
    </row>
    <row r="111" spans="12:13" x14ac:dyDescent="0.25">
      <c r="L111" s="49">
        <f t="shared" si="3"/>
        <v>0</v>
      </c>
      <c r="M111" s="49">
        <f t="shared" si="4"/>
        <v>0</v>
      </c>
    </row>
    <row r="112" spans="12:13" x14ac:dyDescent="0.25">
      <c r="L112" s="49">
        <f t="shared" ref="L112:L150" si="5">D112</f>
        <v>0</v>
      </c>
      <c r="M112" s="49">
        <f t="shared" ref="M112:M150" si="6">IF(G112="Offline","Offline",IF(F112="Printer:  OK",F113,F112))</f>
        <v>0</v>
      </c>
    </row>
    <row r="113" spans="12:13" x14ac:dyDescent="0.25">
      <c r="L113" s="49">
        <f t="shared" si="5"/>
        <v>0</v>
      </c>
      <c r="M113" s="49">
        <f t="shared" si="6"/>
        <v>0</v>
      </c>
    </row>
    <row r="114" spans="12:13" x14ac:dyDescent="0.25">
      <c r="L114" s="49">
        <f t="shared" si="5"/>
        <v>0</v>
      </c>
      <c r="M114" s="49">
        <f t="shared" si="6"/>
        <v>0</v>
      </c>
    </row>
    <row r="115" spans="12:13" x14ac:dyDescent="0.25">
      <c r="L115" s="49">
        <f t="shared" si="5"/>
        <v>0</v>
      </c>
      <c r="M115" s="49">
        <f t="shared" si="6"/>
        <v>0</v>
      </c>
    </row>
    <row r="116" spans="12:13" x14ac:dyDescent="0.25">
      <c r="L116" s="49">
        <f t="shared" si="5"/>
        <v>0</v>
      </c>
      <c r="M116" s="49">
        <f t="shared" si="6"/>
        <v>0</v>
      </c>
    </row>
    <row r="117" spans="12:13" x14ac:dyDescent="0.25">
      <c r="L117" s="49">
        <f t="shared" si="5"/>
        <v>0</v>
      </c>
      <c r="M117" s="49">
        <f t="shared" si="6"/>
        <v>0</v>
      </c>
    </row>
    <row r="118" spans="12:13" x14ac:dyDescent="0.25">
      <c r="L118" s="49">
        <f t="shared" si="5"/>
        <v>0</v>
      </c>
      <c r="M118" s="49">
        <f t="shared" si="6"/>
        <v>0</v>
      </c>
    </row>
    <row r="119" spans="12:13" x14ac:dyDescent="0.25">
      <c r="L119" s="49">
        <f t="shared" si="5"/>
        <v>0</v>
      </c>
      <c r="M119" s="49">
        <f t="shared" si="6"/>
        <v>0</v>
      </c>
    </row>
    <row r="120" spans="12:13" x14ac:dyDescent="0.25">
      <c r="L120" s="49">
        <f t="shared" si="5"/>
        <v>0</v>
      </c>
      <c r="M120" s="49">
        <f t="shared" si="6"/>
        <v>0</v>
      </c>
    </row>
    <row r="121" spans="12:13" x14ac:dyDescent="0.25">
      <c r="L121" s="49">
        <f t="shared" si="5"/>
        <v>0</v>
      </c>
      <c r="M121" s="49">
        <f t="shared" si="6"/>
        <v>0</v>
      </c>
    </row>
    <row r="122" spans="12:13" x14ac:dyDescent="0.25">
      <c r="L122" s="49">
        <f t="shared" si="5"/>
        <v>0</v>
      </c>
      <c r="M122" s="49">
        <f t="shared" si="6"/>
        <v>0</v>
      </c>
    </row>
    <row r="123" spans="12:13" x14ac:dyDescent="0.25">
      <c r="L123" s="49">
        <f t="shared" si="5"/>
        <v>0</v>
      </c>
      <c r="M123" s="49">
        <f t="shared" si="6"/>
        <v>0</v>
      </c>
    </row>
    <row r="124" spans="12:13" x14ac:dyDescent="0.25">
      <c r="L124" s="49">
        <f t="shared" si="5"/>
        <v>0</v>
      </c>
      <c r="M124" s="49">
        <f t="shared" si="6"/>
        <v>0</v>
      </c>
    </row>
    <row r="125" spans="12:13" x14ac:dyDescent="0.25">
      <c r="L125" s="49">
        <f t="shared" si="5"/>
        <v>0</v>
      </c>
      <c r="M125" s="49">
        <f t="shared" si="6"/>
        <v>0</v>
      </c>
    </row>
    <row r="126" spans="12:13" x14ac:dyDescent="0.25">
      <c r="L126" s="49">
        <f t="shared" si="5"/>
        <v>0</v>
      </c>
      <c r="M126" s="49">
        <f t="shared" si="6"/>
        <v>0</v>
      </c>
    </row>
    <row r="127" spans="12:13" x14ac:dyDescent="0.25">
      <c r="L127" s="49">
        <f t="shared" si="5"/>
        <v>0</v>
      </c>
      <c r="M127" s="49">
        <f t="shared" si="6"/>
        <v>0</v>
      </c>
    </row>
    <row r="128" spans="12:13" x14ac:dyDescent="0.25">
      <c r="L128" s="49">
        <f t="shared" si="5"/>
        <v>0</v>
      </c>
      <c r="M128" s="49">
        <f t="shared" si="6"/>
        <v>0</v>
      </c>
    </row>
    <row r="129" spans="12:13" x14ac:dyDescent="0.25">
      <c r="L129" s="49">
        <f t="shared" si="5"/>
        <v>0</v>
      </c>
      <c r="M129" s="49">
        <f t="shared" si="6"/>
        <v>0</v>
      </c>
    </row>
    <row r="130" spans="12:13" x14ac:dyDescent="0.25">
      <c r="L130" s="49">
        <f t="shared" si="5"/>
        <v>0</v>
      </c>
      <c r="M130" s="49">
        <f t="shared" si="6"/>
        <v>0</v>
      </c>
    </row>
    <row r="131" spans="12:13" x14ac:dyDescent="0.25">
      <c r="L131" s="49">
        <f t="shared" si="5"/>
        <v>0</v>
      </c>
      <c r="M131" s="49">
        <f t="shared" si="6"/>
        <v>0</v>
      </c>
    </row>
    <row r="132" spans="12:13" x14ac:dyDescent="0.25">
      <c r="L132" s="49">
        <f t="shared" si="5"/>
        <v>0</v>
      </c>
      <c r="M132" s="49">
        <f t="shared" si="6"/>
        <v>0</v>
      </c>
    </row>
    <row r="133" spans="12:13" x14ac:dyDescent="0.25">
      <c r="L133" s="49">
        <f t="shared" si="5"/>
        <v>0</v>
      </c>
      <c r="M133" s="49">
        <f t="shared" si="6"/>
        <v>0</v>
      </c>
    </row>
    <row r="134" spans="12:13" x14ac:dyDescent="0.25">
      <c r="L134" s="49">
        <f t="shared" si="5"/>
        <v>0</v>
      </c>
      <c r="M134" s="49">
        <f t="shared" si="6"/>
        <v>0</v>
      </c>
    </row>
    <row r="135" spans="12:13" x14ac:dyDescent="0.25">
      <c r="L135" s="49">
        <f t="shared" si="5"/>
        <v>0</v>
      </c>
      <c r="M135" s="49">
        <f t="shared" si="6"/>
        <v>0</v>
      </c>
    </row>
    <row r="136" spans="12:13" x14ac:dyDescent="0.25">
      <c r="L136" s="49">
        <f t="shared" si="5"/>
        <v>0</v>
      </c>
      <c r="M136" s="49">
        <f t="shared" si="6"/>
        <v>0</v>
      </c>
    </row>
    <row r="137" spans="12:13" x14ac:dyDescent="0.25">
      <c r="L137" s="49">
        <f t="shared" si="5"/>
        <v>0</v>
      </c>
      <c r="M137" s="49">
        <f t="shared" si="6"/>
        <v>0</v>
      </c>
    </row>
    <row r="138" spans="12:13" x14ac:dyDescent="0.25">
      <c r="L138" s="49">
        <f t="shared" si="5"/>
        <v>0</v>
      </c>
      <c r="M138" s="49">
        <f t="shared" si="6"/>
        <v>0</v>
      </c>
    </row>
    <row r="139" spans="12:13" x14ac:dyDescent="0.25">
      <c r="L139" s="49">
        <f t="shared" si="5"/>
        <v>0</v>
      </c>
      <c r="M139" s="49">
        <f t="shared" si="6"/>
        <v>0</v>
      </c>
    </row>
    <row r="140" spans="12:13" x14ac:dyDescent="0.25">
      <c r="L140" s="49">
        <f t="shared" si="5"/>
        <v>0</v>
      </c>
      <c r="M140" s="49">
        <f t="shared" si="6"/>
        <v>0</v>
      </c>
    </row>
    <row r="141" spans="12:13" x14ac:dyDescent="0.25">
      <c r="L141" s="49">
        <f t="shared" si="5"/>
        <v>0</v>
      </c>
      <c r="M141" s="49">
        <f t="shared" si="6"/>
        <v>0</v>
      </c>
    </row>
    <row r="142" spans="12:13" x14ac:dyDescent="0.25">
      <c r="L142" s="49">
        <f t="shared" si="5"/>
        <v>0</v>
      </c>
      <c r="M142" s="49">
        <f t="shared" si="6"/>
        <v>0</v>
      </c>
    </row>
    <row r="143" spans="12:13" x14ac:dyDescent="0.25">
      <c r="L143" s="49">
        <f t="shared" si="5"/>
        <v>0</v>
      </c>
      <c r="M143" s="49">
        <f t="shared" si="6"/>
        <v>0</v>
      </c>
    </row>
    <row r="144" spans="12:13" x14ac:dyDescent="0.25">
      <c r="L144" s="49">
        <f t="shared" si="5"/>
        <v>0</v>
      </c>
      <c r="M144" s="49">
        <f t="shared" si="6"/>
        <v>0</v>
      </c>
    </row>
    <row r="145" spans="12:13" x14ac:dyDescent="0.25">
      <c r="L145" s="49">
        <f t="shared" si="5"/>
        <v>0</v>
      </c>
      <c r="M145" s="49">
        <f t="shared" si="6"/>
        <v>0</v>
      </c>
    </row>
    <row r="146" spans="12:13" x14ac:dyDescent="0.25">
      <c r="L146" s="49">
        <f t="shared" si="5"/>
        <v>0</v>
      </c>
      <c r="M146" s="49">
        <f t="shared" si="6"/>
        <v>0</v>
      </c>
    </row>
    <row r="147" spans="12:13" x14ac:dyDescent="0.25">
      <c r="L147" s="49">
        <f t="shared" si="5"/>
        <v>0</v>
      </c>
      <c r="M147" s="49">
        <f t="shared" si="6"/>
        <v>0</v>
      </c>
    </row>
    <row r="148" spans="12:13" x14ac:dyDescent="0.25">
      <c r="L148" s="49">
        <f t="shared" si="5"/>
        <v>0</v>
      </c>
      <c r="M148" s="49">
        <f t="shared" si="6"/>
        <v>0</v>
      </c>
    </row>
    <row r="149" spans="12:13" x14ac:dyDescent="0.25">
      <c r="L149" s="49">
        <f t="shared" si="5"/>
        <v>0</v>
      </c>
      <c r="M149" s="49">
        <f t="shared" si="6"/>
        <v>0</v>
      </c>
    </row>
    <row r="150" spans="12:13" x14ac:dyDescent="0.25">
      <c r="L150" s="49">
        <f t="shared" si="5"/>
        <v>0</v>
      </c>
      <c r="M150" s="49">
        <f t="shared" si="6"/>
        <v>0</v>
      </c>
    </row>
  </sheetData>
  <sheetProtection password="D911" sheet="1" objects="1" scenarios="1"/>
  <sortState ref="D9:D38">
    <sortCondition ref="D38"/>
  </sortState>
  <mergeCells count="192">
    <mergeCell ref="I5:I6"/>
    <mergeCell ref="J5:J6"/>
    <mergeCell ref="A5:A6"/>
    <mergeCell ref="B5:B6"/>
    <mergeCell ref="C5:C6"/>
    <mergeCell ref="D5:D6"/>
    <mergeCell ref="G5:G6"/>
    <mergeCell ref="H5:H6"/>
    <mergeCell ref="I1:I2"/>
    <mergeCell ref="J1:J2"/>
    <mergeCell ref="A3:A4"/>
    <mergeCell ref="B3:B4"/>
    <mergeCell ref="C3:C4"/>
    <mergeCell ref="D3:D4"/>
    <mergeCell ref="G3:G4"/>
    <mergeCell ref="H3:H4"/>
    <mergeCell ref="I3:I4"/>
    <mergeCell ref="J3:J4"/>
    <mergeCell ref="A1:A2"/>
    <mergeCell ref="B1:B2"/>
    <mergeCell ref="C1:C2"/>
    <mergeCell ref="D1:D2"/>
    <mergeCell ref="G1:G2"/>
    <mergeCell ref="H1:H2"/>
    <mergeCell ref="I47:I48"/>
    <mergeCell ref="J47:J48"/>
    <mergeCell ref="A47:A48"/>
    <mergeCell ref="B47:B48"/>
    <mergeCell ref="C47:C48"/>
    <mergeCell ref="D47:D48"/>
    <mergeCell ref="G47:G48"/>
    <mergeCell ref="H47:H48"/>
    <mergeCell ref="I43:I44"/>
    <mergeCell ref="J43:J44"/>
    <mergeCell ref="A45:A46"/>
    <mergeCell ref="B45:B46"/>
    <mergeCell ref="C45:C46"/>
    <mergeCell ref="D45:D46"/>
    <mergeCell ref="G45:G46"/>
    <mergeCell ref="H45:H46"/>
    <mergeCell ref="I45:I46"/>
    <mergeCell ref="J45:J46"/>
    <mergeCell ref="A43:A44"/>
    <mergeCell ref="B43:B44"/>
    <mergeCell ref="C43:C44"/>
    <mergeCell ref="D43:D44"/>
    <mergeCell ref="G43:G44"/>
    <mergeCell ref="H43:H44"/>
    <mergeCell ref="I39:I40"/>
    <mergeCell ref="J39:J40"/>
    <mergeCell ref="A41:A42"/>
    <mergeCell ref="B41:B42"/>
    <mergeCell ref="C41:C42"/>
    <mergeCell ref="D41:D42"/>
    <mergeCell ref="G41:G42"/>
    <mergeCell ref="H41:H42"/>
    <mergeCell ref="I41:I42"/>
    <mergeCell ref="J41:J42"/>
    <mergeCell ref="A39:A40"/>
    <mergeCell ref="B39:B40"/>
    <mergeCell ref="C39:C40"/>
    <mergeCell ref="D39:D40"/>
    <mergeCell ref="G39:G40"/>
    <mergeCell ref="H39:H40"/>
    <mergeCell ref="I35:I36"/>
    <mergeCell ref="J35:J36"/>
    <mergeCell ref="A37:A38"/>
    <mergeCell ref="B37:B38"/>
    <mergeCell ref="C37:C38"/>
    <mergeCell ref="D37:D38"/>
    <mergeCell ref="G37:G38"/>
    <mergeCell ref="H37:H38"/>
    <mergeCell ref="I37:I38"/>
    <mergeCell ref="J37:J38"/>
    <mergeCell ref="A35:A36"/>
    <mergeCell ref="B35:B36"/>
    <mergeCell ref="C35:C36"/>
    <mergeCell ref="D35:D36"/>
    <mergeCell ref="G35:G36"/>
    <mergeCell ref="H35:H36"/>
    <mergeCell ref="I31:I32"/>
    <mergeCell ref="J31:J32"/>
    <mergeCell ref="A33:A34"/>
    <mergeCell ref="B33:B34"/>
    <mergeCell ref="C33:C34"/>
    <mergeCell ref="D33:D34"/>
    <mergeCell ref="G33:G34"/>
    <mergeCell ref="H33:H34"/>
    <mergeCell ref="I33:I34"/>
    <mergeCell ref="J33:J34"/>
    <mergeCell ref="A31:A32"/>
    <mergeCell ref="B31:B32"/>
    <mergeCell ref="C31:C32"/>
    <mergeCell ref="D31:D32"/>
    <mergeCell ref="G31:G32"/>
    <mergeCell ref="H31:H32"/>
    <mergeCell ref="I27:I28"/>
    <mergeCell ref="J27:J28"/>
    <mergeCell ref="A29:A30"/>
    <mergeCell ref="B29:B30"/>
    <mergeCell ref="C29:C30"/>
    <mergeCell ref="D29:D30"/>
    <mergeCell ref="G29:G30"/>
    <mergeCell ref="H29:H30"/>
    <mergeCell ref="I29:I30"/>
    <mergeCell ref="J29:J30"/>
    <mergeCell ref="A27:A28"/>
    <mergeCell ref="B27:B28"/>
    <mergeCell ref="C27:C28"/>
    <mergeCell ref="D27:D28"/>
    <mergeCell ref="G27:G28"/>
    <mergeCell ref="H27:H28"/>
    <mergeCell ref="I23:I24"/>
    <mergeCell ref="J23:J24"/>
    <mergeCell ref="A25:A26"/>
    <mergeCell ref="B25:B26"/>
    <mergeCell ref="C25:C26"/>
    <mergeCell ref="D25:D26"/>
    <mergeCell ref="G25:G26"/>
    <mergeCell ref="H25:H26"/>
    <mergeCell ref="I25:I26"/>
    <mergeCell ref="J25:J26"/>
    <mergeCell ref="A23:A24"/>
    <mergeCell ref="B23:B24"/>
    <mergeCell ref="C23:C24"/>
    <mergeCell ref="D23:D24"/>
    <mergeCell ref="G23:G24"/>
    <mergeCell ref="H23:H24"/>
    <mergeCell ref="I19:I20"/>
    <mergeCell ref="J19:J20"/>
    <mergeCell ref="A21:A22"/>
    <mergeCell ref="B21:B22"/>
    <mergeCell ref="C21:C22"/>
    <mergeCell ref="D21:D22"/>
    <mergeCell ref="G21:G22"/>
    <mergeCell ref="H21:H22"/>
    <mergeCell ref="I21:I22"/>
    <mergeCell ref="J21:J22"/>
    <mergeCell ref="A19:A20"/>
    <mergeCell ref="B19:B20"/>
    <mergeCell ref="C19:C20"/>
    <mergeCell ref="D19:D20"/>
    <mergeCell ref="G19:G20"/>
    <mergeCell ref="H19:H20"/>
    <mergeCell ref="I15:I16"/>
    <mergeCell ref="J15:J16"/>
    <mergeCell ref="A17:A18"/>
    <mergeCell ref="B17:B18"/>
    <mergeCell ref="C17:C18"/>
    <mergeCell ref="D17:D18"/>
    <mergeCell ref="G17:G18"/>
    <mergeCell ref="H17:H18"/>
    <mergeCell ref="I17:I18"/>
    <mergeCell ref="J17:J18"/>
    <mergeCell ref="A15:A16"/>
    <mergeCell ref="B15:B16"/>
    <mergeCell ref="C15:C16"/>
    <mergeCell ref="D15:D16"/>
    <mergeCell ref="G15:G16"/>
    <mergeCell ref="H15:H16"/>
    <mergeCell ref="I11:I12"/>
    <mergeCell ref="J11:J12"/>
    <mergeCell ref="A13:A14"/>
    <mergeCell ref="B13:B14"/>
    <mergeCell ref="C13:C14"/>
    <mergeCell ref="D13:D14"/>
    <mergeCell ref="G13:G14"/>
    <mergeCell ref="H13:H14"/>
    <mergeCell ref="I13:I14"/>
    <mergeCell ref="J13:J14"/>
    <mergeCell ref="A11:A12"/>
    <mergeCell ref="B11:B12"/>
    <mergeCell ref="C11:C12"/>
    <mergeCell ref="D11:D12"/>
    <mergeCell ref="G11:G12"/>
    <mergeCell ref="H11:H12"/>
    <mergeCell ref="I7:I8"/>
    <mergeCell ref="J7:J8"/>
    <mergeCell ref="A9:A10"/>
    <mergeCell ref="B9:B10"/>
    <mergeCell ref="C9:C10"/>
    <mergeCell ref="D9:D10"/>
    <mergeCell ref="G9:G10"/>
    <mergeCell ref="H9:H10"/>
    <mergeCell ref="I9:I10"/>
    <mergeCell ref="J9:J10"/>
    <mergeCell ref="A7:A8"/>
    <mergeCell ref="B7:B8"/>
    <mergeCell ref="C7:C8"/>
    <mergeCell ref="D7:D8"/>
    <mergeCell ref="G7:G8"/>
    <mergeCell ref="H7:H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6"/>
  <sheetViews>
    <sheetView tabSelected="1" workbookViewId="0">
      <selection activeCell="F2" sqref="F2"/>
    </sheetView>
  </sheetViews>
  <sheetFormatPr defaultRowHeight="15" x14ac:dyDescent="0.25"/>
  <cols>
    <col min="1" max="1" width="44.85546875" bestFit="1" customWidth="1"/>
  </cols>
  <sheetData>
    <row r="1" spans="1:5" x14ac:dyDescent="0.25">
      <c r="A1">
        <v>1</v>
      </c>
      <c r="D1" t="s">
        <v>54</v>
      </c>
      <c r="E1" t="s">
        <v>55</v>
      </c>
    </row>
    <row r="2" spans="1:5" x14ac:dyDescent="0.25">
      <c r="A2" t="s">
        <v>92</v>
      </c>
      <c r="B2" t="s">
        <v>56</v>
      </c>
    </row>
    <row r="3" spans="1:5" x14ac:dyDescent="0.25">
      <c r="A3" t="s">
        <v>57</v>
      </c>
      <c r="B3" t="s">
        <v>58</v>
      </c>
      <c r="C3" t="s">
        <v>59</v>
      </c>
      <c r="D3" t="s">
        <v>46</v>
      </c>
    </row>
    <row r="4" spans="1:5" x14ac:dyDescent="0.25">
      <c r="A4">
        <v>2</v>
      </c>
      <c r="D4" t="s">
        <v>60</v>
      </c>
      <c r="E4" t="s">
        <v>61</v>
      </c>
    </row>
    <row r="5" spans="1:5" x14ac:dyDescent="0.25">
      <c r="A5" t="s">
        <v>93</v>
      </c>
      <c r="B5" t="s">
        <v>56</v>
      </c>
    </row>
    <row r="6" spans="1:5" x14ac:dyDescent="0.25">
      <c r="A6" t="s">
        <v>62</v>
      </c>
      <c r="B6" t="s">
        <v>58</v>
      </c>
      <c r="C6" t="s">
        <v>59</v>
      </c>
      <c r="D6" t="s">
        <v>46</v>
      </c>
    </row>
    <row r="7" spans="1:5" x14ac:dyDescent="0.25">
      <c r="A7">
        <v>3</v>
      </c>
      <c r="D7" t="s">
        <v>63</v>
      </c>
      <c r="E7">
        <v>42295.461111111108</v>
      </c>
    </row>
    <row r="8" spans="1:5" x14ac:dyDescent="0.25">
      <c r="A8" t="s">
        <v>94</v>
      </c>
      <c r="B8" t="s">
        <v>56</v>
      </c>
    </row>
    <row r="9" spans="1:5" x14ac:dyDescent="0.25">
      <c r="A9" t="s">
        <v>57</v>
      </c>
      <c r="B9" t="s">
        <v>58</v>
      </c>
      <c r="C9" t="s">
        <v>59</v>
      </c>
      <c r="D9" t="s">
        <v>46</v>
      </c>
    </row>
    <row r="10" spans="1:5" x14ac:dyDescent="0.25">
      <c r="A10">
        <v>4</v>
      </c>
      <c r="C10" t="s">
        <v>0</v>
      </c>
      <c r="D10" t="s">
        <v>64</v>
      </c>
      <c r="E10" t="s">
        <v>65</v>
      </c>
    </row>
    <row r="11" spans="1:5" x14ac:dyDescent="0.25">
      <c r="A11" t="s">
        <v>95</v>
      </c>
      <c r="B11" t="s">
        <v>66</v>
      </c>
    </row>
    <row r="12" spans="1:5" x14ac:dyDescent="0.25">
      <c r="A12" t="s">
        <v>67</v>
      </c>
      <c r="B12" t="s">
        <v>58</v>
      </c>
      <c r="C12" t="s">
        <v>59</v>
      </c>
      <c r="D12" t="s">
        <v>46</v>
      </c>
    </row>
    <row r="13" spans="1:5" x14ac:dyDescent="0.25">
      <c r="A13">
        <v>5</v>
      </c>
      <c r="C13" t="s">
        <v>0</v>
      </c>
      <c r="D13" t="s">
        <v>68</v>
      </c>
      <c r="E13" t="s">
        <v>69</v>
      </c>
    </row>
    <row r="14" spans="1:5" x14ac:dyDescent="0.25">
      <c r="A14" t="s">
        <v>96</v>
      </c>
      <c r="B14" t="s">
        <v>66</v>
      </c>
    </row>
    <row r="15" spans="1:5" x14ac:dyDescent="0.25">
      <c r="A15" t="s">
        <v>67</v>
      </c>
      <c r="B15" t="s">
        <v>58</v>
      </c>
      <c r="C15" t="s">
        <v>59</v>
      </c>
      <c r="D15" t="s">
        <v>46</v>
      </c>
    </row>
    <row r="16" spans="1:5" x14ac:dyDescent="0.25">
      <c r="A16">
        <v>6</v>
      </c>
      <c r="C16" t="s">
        <v>0</v>
      </c>
      <c r="D16" t="s">
        <v>70</v>
      </c>
      <c r="E16" t="s">
        <v>65</v>
      </c>
    </row>
    <row r="17" spans="1:5" x14ac:dyDescent="0.25">
      <c r="A17" t="s">
        <v>95</v>
      </c>
      <c r="B17" t="s">
        <v>56</v>
      </c>
    </row>
    <row r="18" spans="1:5" x14ac:dyDescent="0.25">
      <c r="A18" t="s">
        <v>57</v>
      </c>
      <c r="B18" t="s">
        <v>58</v>
      </c>
      <c r="C18" t="s">
        <v>59</v>
      </c>
      <c r="D18" t="s">
        <v>46</v>
      </c>
    </row>
    <row r="19" spans="1:5" x14ac:dyDescent="0.25">
      <c r="A19">
        <v>7</v>
      </c>
      <c r="C19" t="s">
        <v>0</v>
      </c>
      <c r="D19" t="s">
        <v>71</v>
      </c>
      <c r="E19" t="s">
        <v>65</v>
      </c>
    </row>
    <row r="20" spans="1:5" x14ac:dyDescent="0.25">
      <c r="A20" t="s">
        <v>95</v>
      </c>
      <c r="B20" t="s">
        <v>66</v>
      </c>
    </row>
    <row r="21" spans="1:5" x14ac:dyDescent="0.25">
      <c r="A21" t="s">
        <v>67</v>
      </c>
      <c r="B21" t="s">
        <v>58</v>
      </c>
      <c r="C21" t="s">
        <v>59</v>
      </c>
      <c r="D21" t="s">
        <v>46</v>
      </c>
    </row>
    <row r="22" spans="1:5" x14ac:dyDescent="0.25">
      <c r="A22">
        <v>8</v>
      </c>
      <c r="D22" t="s">
        <v>72</v>
      </c>
      <c r="E22">
        <v>42292.499305555553</v>
      </c>
    </row>
    <row r="23" spans="1:5" x14ac:dyDescent="0.25">
      <c r="A23" t="s">
        <v>97</v>
      </c>
      <c r="B23" t="s">
        <v>56</v>
      </c>
    </row>
    <row r="24" spans="1:5" x14ac:dyDescent="0.25">
      <c r="A24" t="s">
        <v>57</v>
      </c>
      <c r="B24" t="s">
        <v>58</v>
      </c>
      <c r="C24" t="s">
        <v>59</v>
      </c>
      <c r="D24" t="s">
        <v>46</v>
      </c>
    </row>
    <row r="25" spans="1:5" x14ac:dyDescent="0.25">
      <c r="A25">
        <v>9</v>
      </c>
      <c r="D25" t="s">
        <v>73</v>
      </c>
      <c r="E25" t="s">
        <v>74</v>
      </c>
    </row>
    <row r="26" spans="1:5" x14ac:dyDescent="0.25">
      <c r="A26" t="s">
        <v>98</v>
      </c>
      <c r="B26" t="s">
        <v>56</v>
      </c>
    </row>
    <row r="27" spans="1:5" x14ac:dyDescent="0.25">
      <c r="A27" t="s">
        <v>57</v>
      </c>
      <c r="B27" t="s">
        <v>58</v>
      </c>
      <c r="C27" t="s">
        <v>59</v>
      </c>
      <c r="D27" t="s">
        <v>46</v>
      </c>
    </row>
    <row r="28" spans="1:5" x14ac:dyDescent="0.25">
      <c r="A28">
        <v>10</v>
      </c>
      <c r="D28" t="s">
        <v>75</v>
      </c>
      <c r="E28">
        <v>42295.475694444445</v>
      </c>
    </row>
    <row r="29" spans="1:5" x14ac:dyDescent="0.25">
      <c r="A29" t="s">
        <v>99</v>
      </c>
      <c r="B29" t="s">
        <v>56</v>
      </c>
    </row>
    <row r="30" spans="1:5" x14ac:dyDescent="0.25">
      <c r="A30" t="s">
        <v>57</v>
      </c>
      <c r="B30" t="s">
        <v>58</v>
      </c>
      <c r="C30" t="s">
        <v>59</v>
      </c>
      <c r="D30" t="s">
        <v>46</v>
      </c>
    </row>
    <row r="31" spans="1:5" x14ac:dyDescent="0.25">
      <c r="A31">
        <v>11</v>
      </c>
      <c r="C31" t="s">
        <v>9</v>
      </c>
      <c r="D31" t="s">
        <v>100</v>
      </c>
      <c r="E31">
        <v>42295.511111111111</v>
      </c>
    </row>
    <row r="32" spans="1:5" x14ac:dyDescent="0.25">
      <c r="A32" t="s">
        <v>91</v>
      </c>
      <c r="B32" t="s">
        <v>66</v>
      </c>
    </row>
    <row r="33" spans="1:5" x14ac:dyDescent="0.25">
      <c r="A33" t="s">
        <v>67</v>
      </c>
      <c r="B33" t="s">
        <v>58</v>
      </c>
      <c r="C33" t="s">
        <v>59</v>
      </c>
      <c r="D33" t="s">
        <v>46</v>
      </c>
    </row>
    <row r="34" spans="1:5" x14ac:dyDescent="0.25">
      <c r="A34">
        <v>12</v>
      </c>
      <c r="D34" t="s">
        <v>76</v>
      </c>
      <c r="E34" t="s">
        <v>77</v>
      </c>
    </row>
    <row r="35" spans="1:5" x14ac:dyDescent="0.25">
      <c r="A35" t="s">
        <v>101</v>
      </c>
      <c r="B35" t="s">
        <v>56</v>
      </c>
    </row>
    <row r="36" spans="1:5" x14ac:dyDescent="0.25">
      <c r="A36" t="s">
        <v>57</v>
      </c>
      <c r="B36" t="s">
        <v>58</v>
      </c>
      <c r="C36" t="s">
        <v>59</v>
      </c>
      <c r="D36" t="s">
        <v>46</v>
      </c>
    </row>
    <row r="37" spans="1:5" x14ac:dyDescent="0.25">
      <c r="A37">
        <v>13</v>
      </c>
      <c r="D37" t="s">
        <v>78</v>
      </c>
      <c r="E37" t="s">
        <v>79</v>
      </c>
    </row>
    <row r="38" spans="1:5" x14ac:dyDescent="0.25">
      <c r="A38" t="s">
        <v>102</v>
      </c>
      <c r="B38" t="s">
        <v>56</v>
      </c>
    </row>
    <row r="39" spans="1:5" x14ac:dyDescent="0.25">
      <c r="A39" t="s">
        <v>57</v>
      </c>
      <c r="B39" t="s">
        <v>58</v>
      </c>
      <c r="C39" t="s">
        <v>59</v>
      </c>
      <c r="D39" t="s">
        <v>46</v>
      </c>
    </row>
    <row r="40" spans="1:5" x14ac:dyDescent="0.25">
      <c r="A40">
        <v>14</v>
      </c>
      <c r="C40" t="s">
        <v>11</v>
      </c>
      <c r="D40" t="s">
        <v>80</v>
      </c>
      <c r="E40">
        <v>42290.476388888892</v>
      </c>
    </row>
    <row r="41" spans="1:5" x14ac:dyDescent="0.25">
      <c r="A41" t="s">
        <v>103</v>
      </c>
      <c r="B41" t="s">
        <v>66</v>
      </c>
    </row>
    <row r="42" spans="1:5" x14ac:dyDescent="0.25">
      <c r="A42" t="s">
        <v>57</v>
      </c>
      <c r="B42" t="s">
        <v>58</v>
      </c>
      <c r="C42" t="s">
        <v>81</v>
      </c>
      <c r="D42" t="s">
        <v>46</v>
      </c>
    </row>
    <row r="43" spans="1:5" x14ac:dyDescent="0.25">
      <c r="A43">
        <v>15</v>
      </c>
      <c r="C43" t="s">
        <v>0</v>
      </c>
      <c r="D43" t="s">
        <v>104</v>
      </c>
      <c r="E43">
        <v>42295.511111111111</v>
      </c>
    </row>
    <row r="44" spans="1:5" x14ac:dyDescent="0.25">
      <c r="A44" t="s">
        <v>91</v>
      </c>
      <c r="B44" t="s">
        <v>82</v>
      </c>
    </row>
    <row r="45" spans="1:5" x14ac:dyDescent="0.25">
      <c r="A45" t="s">
        <v>57</v>
      </c>
      <c r="B45" t="s">
        <v>87</v>
      </c>
      <c r="C45" t="s">
        <v>59</v>
      </c>
      <c r="D45" t="s">
        <v>46</v>
      </c>
    </row>
    <row r="46" spans="1:5" x14ac:dyDescent="0.25">
      <c r="A46">
        <v>16</v>
      </c>
      <c r="C46" t="s">
        <v>6</v>
      </c>
      <c r="D46" t="s">
        <v>84</v>
      </c>
      <c r="E46">
        <v>42295.511111111111</v>
      </c>
    </row>
    <row r="47" spans="1:5" x14ac:dyDescent="0.25">
      <c r="A47" t="s">
        <v>91</v>
      </c>
      <c r="B47" t="s">
        <v>56</v>
      </c>
    </row>
    <row r="48" spans="1:5" x14ac:dyDescent="0.25">
      <c r="A48" t="s">
        <v>62</v>
      </c>
      <c r="B48" t="s">
        <v>83</v>
      </c>
      <c r="C48" t="s">
        <v>59</v>
      </c>
      <c r="D48" t="s">
        <v>46</v>
      </c>
    </row>
    <row r="49" spans="1:5" x14ac:dyDescent="0.25">
      <c r="A49">
        <v>17</v>
      </c>
      <c r="C49" t="s">
        <v>6</v>
      </c>
      <c r="D49" t="s">
        <v>105</v>
      </c>
      <c r="E49">
        <v>42295.511111111111</v>
      </c>
    </row>
    <row r="50" spans="1:5" x14ac:dyDescent="0.25">
      <c r="A50" t="s">
        <v>91</v>
      </c>
      <c r="B50" t="s">
        <v>89</v>
      </c>
    </row>
    <row r="51" spans="1:5" x14ac:dyDescent="0.25">
      <c r="A51" t="s">
        <v>57</v>
      </c>
      <c r="B51" t="s">
        <v>83</v>
      </c>
      <c r="C51" t="s">
        <v>59</v>
      </c>
      <c r="D51" t="s">
        <v>46</v>
      </c>
    </row>
    <row r="52" spans="1:5" x14ac:dyDescent="0.25">
      <c r="A52">
        <v>18</v>
      </c>
      <c r="C52" t="s">
        <v>9</v>
      </c>
      <c r="D52" t="s">
        <v>106</v>
      </c>
      <c r="E52">
        <v>42295.511111111111</v>
      </c>
    </row>
    <row r="53" spans="1:5" x14ac:dyDescent="0.25">
      <c r="A53" t="s">
        <v>91</v>
      </c>
      <c r="B53" t="s">
        <v>89</v>
      </c>
    </row>
    <row r="54" spans="1:5" x14ac:dyDescent="0.25">
      <c r="A54" t="s">
        <v>57</v>
      </c>
      <c r="B54" t="s">
        <v>83</v>
      </c>
      <c r="C54" t="s">
        <v>59</v>
      </c>
      <c r="D54" t="s">
        <v>46</v>
      </c>
    </row>
    <row r="55" spans="1:5" x14ac:dyDescent="0.25">
      <c r="A55">
        <v>19</v>
      </c>
      <c r="C55" t="s">
        <v>9</v>
      </c>
      <c r="D55" t="s">
        <v>107</v>
      </c>
      <c r="E55">
        <v>42295.511111111111</v>
      </c>
    </row>
    <row r="56" spans="1:5" x14ac:dyDescent="0.25">
      <c r="A56" t="s">
        <v>91</v>
      </c>
      <c r="B56" t="s">
        <v>89</v>
      </c>
    </row>
    <row r="57" spans="1:5" x14ac:dyDescent="0.25">
      <c r="A57" t="s">
        <v>57</v>
      </c>
      <c r="B57" t="s">
        <v>87</v>
      </c>
      <c r="C57" t="s">
        <v>59</v>
      </c>
      <c r="D57" t="s">
        <v>46</v>
      </c>
    </row>
    <row r="58" spans="1:5" x14ac:dyDescent="0.25">
      <c r="A58">
        <v>20</v>
      </c>
      <c r="C58" t="s">
        <v>1</v>
      </c>
      <c r="D58" t="s">
        <v>85</v>
      </c>
      <c r="E58">
        <v>42295.511111111111</v>
      </c>
    </row>
    <row r="59" spans="1:5" x14ac:dyDescent="0.25">
      <c r="A59" t="s">
        <v>91</v>
      </c>
      <c r="B59" t="s">
        <v>56</v>
      </c>
    </row>
    <row r="60" spans="1:5" x14ac:dyDescent="0.25">
      <c r="A60" t="s">
        <v>86</v>
      </c>
      <c r="B60" t="s">
        <v>83</v>
      </c>
      <c r="C60" t="s">
        <v>59</v>
      </c>
      <c r="D60" t="s">
        <v>46</v>
      </c>
    </row>
    <row r="61" spans="1:5" x14ac:dyDescent="0.25">
      <c r="A61">
        <v>21</v>
      </c>
      <c r="C61" t="s">
        <v>11</v>
      </c>
      <c r="D61" t="s">
        <v>88</v>
      </c>
      <c r="E61">
        <v>42295.511111111111</v>
      </c>
    </row>
    <row r="62" spans="1:5" x14ac:dyDescent="0.25">
      <c r="A62" t="s">
        <v>91</v>
      </c>
      <c r="B62" t="s">
        <v>89</v>
      </c>
    </row>
    <row r="63" spans="1:5" x14ac:dyDescent="0.25">
      <c r="A63" t="s">
        <v>57</v>
      </c>
      <c r="B63" t="s">
        <v>83</v>
      </c>
      <c r="C63" t="s">
        <v>59</v>
      </c>
      <c r="D63" t="s">
        <v>46</v>
      </c>
    </row>
    <row r="64" spans="1:5" x14ac:dyDescent="0.25">
      <c r="A64">
        <v>22</v>
      </c>
      <c r="C64" t="s">
        <v>2</v>
      </c>
      <c r="D64" t="s">
        <v>90</v>
      </c>
      <c r="E64">
        <v>42295.511111111111</v>
      </c>
    </row>
    <row r="65" spans="1:4" x14ac:dyDescent="0.25">
      <c r="A65" t="s">
        <v>91</v>
      </c>
      <c r="B65" t="s">
        <v>56</v>
      </c>
    </row>
    <row r="66" spans="1:4" x14ac:dyDescent="0.25">
      <c r="A66" t="s">
        <v>86</v>
      </c>
      <c r="B66" t="s">
        <v>83</v>
      </c>
      <c r="C66" t="s">
        <v>59</v>
      </c>
      <c r="D66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Kiosks</vt:lpstr>
      <vt:lpstr>PasteData</vt:lpstr>
      <vt:lpstr>Sheet1</vt:lpstr>
      <vt:lpstr>Kiosks!erange</vt:lpstr>
      <vt:lpstr>Kiosks!torange</vt:lpstr>
    </vt:vector>
  </TitlesOfParts>
  <Company>Station Casinos,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Sullivan</dc:creator>
  <cp:lastModifiedBy>scsulli</cp:lastModifiedBy>
  <cp:lastPrinted>2012-06-25T22:56:04Z</cp:lastPrinted>
  <dcterms:created xsi:type="dcterms:W3CDTF">2011-12-23T17:23:18Z</dcterms:created>
  <dcterms:modified xsi:type="dcterms:W3CDTF">2015-10-18T19:18:20Z</dcterms:modified>
</cp:coreProperties>
</file>